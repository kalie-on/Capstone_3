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1ca02095870d75e/Documents/DATA_Labs/Capstone_3/"/>
    </mc:Choice>
  </mc:AlternateContent>
  <xr:revisionPtr revIDLastSave="0" documentId="8_{8EE1E777-EAC0-40CE-A690-94D1917708F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DowntownJan" sheetId="8" r:id="rId1"/>
    <sheet name="SalesUptownJan" sheetId="10" r:id="rId2"/>
    <sheet name="SalesSummaryJan" sheetId="1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1" l="1"/>
  <c r="E4" i="11"/>
  <c r="E3" i="11"/>
  <c r="C5" i="11"/>
  <c r="B5" i="11"/>
  <c r="C4" i="11"/>
  <c r="C3" i="11"/>
  <c r="D4" i="11"/>
  <c r="D3" i="11"/>
  <c r="B4" i="11"/>
  <c r="B3" i="11"/>
  <c r="H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2" i="10"/>
  <c r="H6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2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2" i="8"/>
  <c r="D5" i="11" l="1"/>
</calcChain>
</file>

<file path=xl/sharedStrings.xml><?xml version="1.0" encoding="utf-8"?>
<sst xmlns="http://schemas.openxmlformats.org/spreadsheetml/2006/main" count="24" uniqueCount="17">
  <si>
    <t>Transaction ID</t>
  </si>
  <si>
    <t>Subtotal</t>
  </si>
  <si>
    <t>Tax Amt</t>
  </si>
  <si>
    <t>Tax Rate</t>
  </si>
  <si>
    <t>Total Sales Downtown</t>
  </si>
  <si>
    <t>Total Sales Uptown</t>
  </si>
  <si>
    <t>January Sales Summary</t>
  </si>
  <si>
    <t>Downtown</t>
  </si>
  <si>
    <t>Uptown</t>
  </si>
  <si>
    <t>Total Sales $ Amount</t>
  </si>
  <si>
    <t># of Items</t>
  </si>
  <si>
    <t># of Items Sold</t>
  </si>
  <si>
    <t>TOTAL</t>
  </si>
  <si>
    <t>Sales Total</t>
  </si>
  <si>
    <t>Unit Price</t>
  </si>
  <si>
    <t>Average Sales Total</t>
  </si>
  <si>
    <t># of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</si>
</sst>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164" fontId="0" fillId="0" borderId="0" xfId="0" applyNumberFormat="1"/>
    <xf numFmtId="9" fontId="0" fillId="0" borderId="1" xfId="0" applyNumberFormat="1" applyBorder="1"/>
    <xf numFmtId="0" fontId="1" fillId="2" borderId="1" xfId="0" applyFont="1" applyFill="1" applyBorder="1"/>
    <xf numFmtId="164" fontId="0" fillId="0" borderId="1" xfId="0" applyNumberFormat="1" applyBorder="1"/>
    <xf numFmtId="0" fontId="1" fillId="2" borderId="2" xfId="0" applyFont="1" applyFill="1" applyBorder="1"/>
    <xf numFmtId="0" fontId="0" fillId="0" borderId="3" xfId="0" applyBorder="1"/>
    <xf numFmtId="0" fontId="0" fillId="0" borderId="5" xfId="0" applyBorder="1"/>
    <xf numFmtId="164" fontId="0" fillId="0" borderId="5" xfId="0" applyNumberFormat="1" applyBorder="1"/>
    <xf numFmtId="0" fontId="1" fillId="3" borderId="4" xfId="0" applyFont="1" applyFill="1" applyBorder="1"/>
    <xf numFmtId="0" fontId="1" fillId="3" borderId="5" xfId="0" applyFont="1" applyFill="1" applyBorder="1"/>
    <xf numFmtId="164" fontId="1" fillId="3" borderId="5" xfId="0" applyNumberFormat="1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4" borderId="5" xfId="0" applyFont="1" applyFill="1" applyBorder="1"/>
    <xf numFmtId="164" fontId="1" fillId="4" borderId="5" xfId="0" applyNumberFormat="1" applyFont="1" applyFill="1" applyBorder="1"/>
    <xf numFmtId="164" fontId="1" fillId="0" borderId="1" xfId="0" applyNumberFormat="1" applyFont="1" applyBorder="1"/>
    <xf numFmtId="1" fontId="0" fillId="0" borderId="1" xfId="0" applyNumberFormat="1" applyBorder="1"/>
    <xf numFmtId="1" fontId="1" fillId="0" borderId="1" xfId="0" applyNumberFormat="1" applyFont="1" applyBorder="1"/>
    <xf numFmtId="0" fontId="1" fillId="3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B1BA-EDA6-4706-8015-8E950DB4FCD3}">
  <sheetPr>
    <tabColor theme="6" tint="0.79998168889431442"/>
  </sheetPr>
  <dimension ref="A1:H16"/>
  <sheetViews>
    <sheetView showGridLines="0" zoomScale="160" zoomScaleNormal="160" workbookViewId="0">
      <pane ySplit="1" topLeftCell="A5" activePane="bottomLeft" state="frozen"/>
      <selection pane="bottomLeft" activeCell="B15" sqref="B15"/>
    </sheetView>
  </sheetViews>
  <sheetFormatPr defaultRowHeight="14.4" x14ac:dyDescent="0.3"/>
  <cols>
    <col min="1" max="1" width="14" style="22" bestFit="1" customWidth="1"/>
    <col min="2" max="2" width="10.88671875" customWidth="1"/>
    <col min="3" max="3" width="11.6640625" style="2" customWidth="1"/>
    <col min="4" max="4" width="11.6640625" customWidth="1"/>
    <col min="5" max="5" width="8.6640625" customWidth="1"/>
    <col min="6" max="6" width="13.109375" customWidth="1"/>
    <col min="8" max="8" width="20.6640625" customWidth="1"/>
    <col min="9" max="9" width="10.5546875" customWidth="1"/>
  </cols>
  <sheetData>
    <row r="1" spans="1:8" s="1" customFormat="1" x14ac:dyDescent="0.3">
      <c r="A1" s="20" t="s">
        <v>0</v>
      </c>
      <c r="B1" s="11" t="s">
        <v>10</v>
      </c>
      <c r="C1" s="12" t="s">
        <v>14</v>
      </c>
      <c r="D1" s="11" t="s">
        <v>1</v>
      </c>
      <c r="E1" s="11" t="s">
        <v>2</v>
      </c>
      <c r="F1" s="11" t="s">
        <v>13</v>
      </c>
    </row>
    <row r="2" spans="1:8" x14ac:dyDescent="0.3">
      <c r="A2" s="21">
        <v>1907</v>
      </c>
      <c r="B2" s="8">
        <v>16</v>
      </c>
      <c r="C2" s="9">
        <v>51</v>
      </c>
      <c r="D2" s="9">
        <f>B2*C2</f>
        <v>816</v>
      </c>
      <c r="E2" s="9">
        <f>D2*H3</f>
        <v>65.28</v>
      </c>
      <c r="F2" s="9">
        <f>D2+E2</f>
        <v>881.28</v>
      </c>
      <c r="H2" s="13" t="s">
        <v>3</v>
      </c>
    </row>
    <row r="3" spans="1:8" x14ac:dyDescent="0.3">
      <c r="A3" s="21">
        <v>8295</v>
      </c>
      <c r="B3" s="8">
        <v>1</v>
      </c>
      <c r="C3" s="9">
        <v>17</v>
      </c>
      <c r="D3" s="9">
        <f t="shared" ref="D3:D16" si="0">B3*C3</f>
        <v>17</v>
      </c>
      <c r="E3" s="9">
        <f>D3*H3</f>
        <v>1.36</v>
      </c>
      <c r="F3" s="9">
        <f t="shared" ref="F3:F16" si="1">D3+E3</f>
        <v>18.36</v>
      </c>
      <c r="H3" s="3">
        <v>0.08</v>
      </c>
    </row>
    <row r="4" spans="1:8" x14ac:dyDescent="0.3">
      <c r="A4" s="21">
        <v>4388</v>
      </c>
      <c r="B4" s="8">
        <v>5</v>
      </c>
      <c r="C4" s="9">
        <v>89</v>
      </c>
      <c r="D4" s="9">
        <f t="shared" si="0"/>
        <v>445</v>
      </c>
      <c r="E4" s="9">
        <f>D4*H3</f>
        <v>35.6</v>
      </c>
      <c r="F4" s="9">
        <f t="shared" si="1"/>
        <v>480.6</v>
      </c>
    </row>
    <row r="5" spans="1:8" x14ac:dyDescent="0.3">
      <c r="A5" s="21">
        <v>2356</v>
      </c>
      <c r="B5" s="8">
        <v>16</v>
      </c>
      <c r="C5" s="9">
        <v>3</v>
      </c>
      <c r="D5" s="9">
        <f t="shared" si="0"/>
        <v>48</v>
      </c>
      <c r="E5" s="9">
        <f>D5*H3</f>
        <v>3.84</v>
      </c>
      <c r="F5" s="9">
        <f t="shared" si="1"/>
        <v>51.84</v>
      </c>
      <c r="H5" s="13" t="s">
        <v>4</v>
      </c>
    </row>
    <row r="6" spans="1:8" x14ac:dyDescent="0.3">
      <c r="A6" s="21">
        <v>1565</v>
      </c>
      <c r="B6" s="8">
        <v>13</v>
      </c>
      <c r="C6" s="9">
        <v>26</v>
      </c>
      <c r="D6" s="9">
        <f t="shared" si="0"/>
        <v>338</v>
      </c>
      <c r="E6" s="9">
        <f>D6*H3</f>
        <v>27.04</v>
      </c>
      <c r="F6" s="9">
        <f t="shared" si="1"/>
        <v>365.04</v>
      </c>
      <c r="H6" s="5">
        <f>SUM(F2:F16)</f>
        <v>8150.76</v>
      </c>
    </row>
    <row r="7" spans="1:8" x14ac:dyDescent="0.3">
      <c r="A7" s="21">
        <v>1532</v>
      </c>
      <c r="B7" s="8">
        <v>5</v>
      </c>
      <c r="C7" s="9">
        <v>95</v>
      </c>
      <c r="D7" s="9">
        <f t="shared" si="0"/>
        <v>475</v>
      </c>
      <c r="E7" s="9">
        <f>D7*H3</f>
        <v>38</v>
      </c>
      <c r="F7" s="9">
        <f t="shared" si="1"/>
        <v>513</v>
      </c>
    </row>
    <row r="8" spans="1:8" x14ac:dyDescent="0.3">
      <c r="A8" s="21">
        <v>2748</v>
      </c>
      <c r="B8" s="8">
        <v>15</v>
      </c>
      <c r="C8" s="9">
        <v>16</v>
      </c>
      <c r="D8" s="9">
        <f t="shared" si="0"/>
        <v>240</v>
      </c>
      <c r="E8" s="9">
        <f>D8*H3</f>
        <v>19.2</v>
      </c>
      <c r="F8" s="9">
        <f t="shared" si="1"/>
        <v>259.2</v>
      </c>
    </row>
    <row r="9" spans="1:8" x14ac:dyDescent="0.3">
      <c r="A9" s="21">
        <v>9329</v>
      </c>
      <c r="B9" s="8">
        <v>20</v>
      </c>
      <c r="C9" s="9">
        <v>84</v>
      </c>
      <c r="D9" s="9">
        <f t="shared" si="0"/>
        <v>1680</v>
      </c>
      <c r="E9" s="9">
        <f>D9*H3</f>
        <v>134.4</v>
      </c>
      <c r="F9" s="9">
        <f t="shared" si="1"/>
        <v>1814.4</v>
      </c>
    </row>
    <row r="10" spans="1:8" x14ac:dyDescent="0.3">
      <c r="A10" s="21">
        <v>9975</v>
      </c>
      <c r="B10" s="8">
        <v>7</v>
      </c>
      <c r="C10" s="9">
        <v>68</v>
      </c>
      <c r="D10" s="9">
        <f t="shared" si="0"/>
        <v>476</v>
      </c>
      <c r="E10" s="9">
        <f>D10*H3</f>
        <v>38.08</v>
      </c>
      <c r="F10" s="9">
        <f t="shared" si="1"/>
        <v>514.08000000000004</v>
      </c>
    </row>
    <row r="11" spans="1:8" x14ac:dyDescent="0.3">
      <c r="A11" s="21">
        <v>5106</v>
      </c>
      <c r="B11" s="8">
        <v>8</v>
      </c>
      <c r="C11" s="9">
        <v>4</v>
      </c>
      <c r="D11" s="9">
        <f t="shared" si="0"/>
        <v>32</v>
      </c>
      <c r="E11" s="9">
        <f>D11*H3</f>
        <v>2.56</v>
      </c>
      <c r="F11" s="9">
        <f t="shared" si="1"/>
        <v>34.56</v>
      </c>
    </row>
    <row r="12" spans="1:8" x14ac:dyDescent="0.3">
      <c r="A12" s="21">
        <v>5265</v>
      </c>
      <c r="B12" s="8">
        <v>2</v>
      </c>
      <c r="C12" s="9">
        <v>80</v>
      </c>
      <c r="D12" s="9">
        <f t="shared" si="0"/>
        <v>160</v>
      </c>
      <c r="E12" s="9">
        <f>D12*H3</f>
        <v>12.8</v>
      </c>
      <c r="F12" s="9">
        <f t="shared" si="1"/>
        <v>172.8</v>
      </c>
    </row>
    <row r="13" spans="1:8" x14ac:dyDescent="0.3">
      <c r="A13" s="21">
        <v>6829</v>
      </c>
      <c r="B13" s="8">
        <v>19</v>
      </c>
      <c r="C13" s="9">
        <v>38</v>
      </c>
      <c r="D13" s="9">
        <f t="shared" si="0"/>
        <v>722</v>
      </c>
      <c r="E13" s="9">
        <f>D13*H3</f>
        <v>57.76</v>
      </c>
      <c r="F13" s="9">
        <f t="shared" si="1"/>
        <v>779.76</v>
      </c>
    </row>
    <row r="14" spans="1:8" x14ac:dyDescent="0.3">
      <c r="A14" s="21">
        <v>7853</v>
      </c>
      <c r="B14" s="8">
        <v>16</v>
      </c>
      <c r="C14" s="9">
        <v>79</v>
      </c>
      <c r="D14" s="9">
        <f t="shared" si="0"/>
        <v>1264</v>
      </c>
      <c r="E14" s="9">
        <f>D14*H3</f>
        <v>101.12</v>
      </c>
      <c r="F14" s="9">
        <f t="shared" si="1"/>
        <v>1365.12</v>
      </c>
    </row>
    <row r="15" spans="1:8" x14ac:dyDescent="0.3">
      <c r="A15" s="21">
        <v>6476</v>
      </c>
      <c r="B15" s="8">
        <v>20</v>
      </c>
      <c r="C15" s="9">
        <v>21</v>
      </c>
      <c r="D15" s="9">
        <f t="shared" si="0"/>
        <v>420</v>
      </c>
      <c r="E15" s="9">
        <f>D15*H3</f>
        <v>33.6</v>
      </c>
      <c r="F15" s="9">
        <f t="shared" si="1"/>
        <v>453.6</v>
      </c>
    </row>
    <row r="16" spans="1:8" x14ac:dyDescent="0.3">
      <c r="A16" s="21">
        <v>5698</v>
      </c>
      <c r="B16" s="8">
        <v>9</v>
      </c>
      <c r="C16" s="9">
        <v>46</v>
      </c>
      <c r="D16" s="9">
        <f t="shared" si="0"/>
        <v>414</v>
      </c>
      <c r="E16" s="9">
        <f>D16*H3</f>
        <v>33.119999999999997</v>
      </c>
      <c r="F16" s="9">
        <f t="shared" si="1"/>
        <v>447.12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B12B-8DC1-43B3-BE91-11CD069F1B17}">
  <sheetPr>
    <tabColor theme="5" tint="0.79998168889431442"/>
  </sheetPr>
  <dimension ref="A1:H15"/>
  <sheetViews>
    <sheetView showGridLines="0" tabSelected="1" zoomScale="160" zoomScaleNormal="160" workbookViewId="0">
      <pane ySplit="1" topLeftCell="A2" activePane="bottomLeft" state="frozen"/>
      <selection pane="bottomLeft" activeCell="H10" sqref="H10"/>
    </sheetView>
  </sheetViews>
  <sheetFormatPr defaultRowHeight="14.4" x14ac:dyDescent="0.3"/>
  <cols>
    <col min="1" max="1" width="14" style="22" bestFit="1" customWidth="1"/>
    <col min="2" max="2" width="10.88671875" customWidth="1"/>
    <col min="3" max="3" width="11.6640625" style="2" customWidth="1"/>
    <col min="4" max="4" width="11.6640625" customWidth="1"/>
    <col min="5" max="5" width="8.6640625" customWidth="1"/>
    <col min="6" max="6" width="13.109375" customWidth="1"/>
    <col min="8" max="8" width="20.6640625" customWidth="1"/>
    <col min="9" max="9" width="16.77734375" bestFit="1" customWidth="1"/>
  </cols>
  <sheetData>
    <row r="1" spans="1:8" s="1" customFormat="1" x14ac:dyDescent="0.3">
      <c r="A1" s="23" t="s">
        <v>0</v>
      </c>
      <c r="B1" s="15" t="s">
        <v>10</v>
      </c>
      <c r="C1" s="16" t="s">
        <v>14</v>
      </c>
      <c r="D1" s="15" t="s">
        <v>1</v>
      </c>
      <c r="E1" s="15" t="s">
        <v>2</v>
      </c>
      <c r="F1" s="15" t="s">
        <v>13</v>
      </c>
      <c r="G1" s="14" t="s">
        <v>3</v>
      </c>
      <c r="H1" s="14" t="s">
        <v>5</v>
      </c>
    </row>
    <row r="2" spans="1:8" x14ac:dyDescent="0.3">
      <c r="A2" s="21">
        <v>2618</v>
      </c>
      <c r="B2" s="8">
        <v>6</v>
      </c>
      <c r="C2" s="9">
        <v>88</v>
      </c>
      <c r="D2" s="9">
        <f>B2*C2</f>
        <v>528</v>
      </c>
      <c r="E2" s="9">
        <f>D2*G2</f>
        <v>42.24</v>
      </c>
      <c r="F2" s="9">
        <f>D2+E2</f>
        <v>570.24</v>
      </c>
      <c r="G2" s="3">
        <v>0.08</v>
      </c>
      <c r="H2" s="25">
        <f>SUM(F2:F15)</f>
        <v>7797.5999999999995</v>
      </c>
    </row>
    <row r="3" spans="1:8" x14ac:dyDescent="0.3">
      <c r="A3" s="21">
        <v>8179</v>
      </c>
      <c r="B3" s="8">
        <v>3</v>
      </c>
      <c r="C3" s="9">
        <v>72</v>
      </c>
      <c r="D3" s="9">
        <f t="shared" ref="D3:D15" si="0">B3*C3</f>
        <v>216</v>
      </c>
      <c r="E3" s="9">
        <f t="shared" ref="E3:E15" si="1">D3*G3</f>
        <v>17.28</v>
      </c>
      <c r="F3" s="9">
        <f t="shared" ref="F3:F15" si="2">D3+E3</f>
        <v>233.28</v>
      </c>
      <c r="G3" s="3">
        <v>0.08</v>
      </c>
    </row>
    <row r="4" spans="1:8" x14ac:dyDescent="0.3">
      <c r="A4" s="21">
        <v>7179</v>
      </c>
      <c r="B4" s="8">
        <v>6</v>
      </c>
      <c r="C4" s="9">
        <v>64</v>
      </c>
      <c r="D4" s="9">
        <f t="shared" si="0"/>
        <v>384</v>
      </c>
      <c r="E4" s="9">
        <f t="shared" si="1"/>
        <v>30.72</v>
      </c>
      <c r="F4" s="9">
        <f t="shared" si="2"/>
        <v>414.72</v>
      </c>
      <c r="G4" s="3">
        <v>0.08</v>
      </c>
    </row>
    <row r="5" spans="1:8" x14ac:dyDescent="0.3">
      <c r="A5" s="21">
        <v>3963</v>
      </c>
      <c r="B5" s="8">
        <v>3</v>
      </c>
      <c r="C5" s="9">
        <v>25</v>
      </c>
      <c r="D5" s="9">
        <f t="shared" si="0"/>
        <v>75</v>
      </c>
      <c r="E5" s="9">
        <f t="shared" si="1"/>
        <v>6</v>
      </c>
      <c r="F5" s="9">
        <f t="shared" si="2"/>
        <v>81</v>
      </c>
      <c r="G5" s="3">
        <v>0.08</v>
      </c>
    </row>
    <row r="6" spans="1:8" x14ac:dyDescent="0.3">
      <c r="A6" s="21">
        <v>7834</v>
      </c>
      <c r="B6" s="8">
        <v>7</v>
      </c>
      <c r="C6" s="9">
        <v>60</v>
      </c>
      <c r="D6" s="9">
        <f t="shared" si="0"/>
        <v>420</v>
      </c>
      <c r="E6" s="9">
        <f t="shared" si="1"/>
        <v>33.6</v>
      </c>
      <c r="F6" s="9">
        <f t="shared" si="2"/>
        <v>453.6</v>
      </c>
      <c r="G6" s="3">
        <v>0.08</v>
      </c>
    </row>
    <row r="7" spans="1:8" x14ac:dyDescent="0.3">
      <c r="A7" s="21">
        <v>7902</v>
      </c>
      <c r="B7" s="8">
        <v>14</v>
      </c>
      <c r="C7" s="9">
        <v>94</v>
      </c>
      <c r="D7" s="9">
        <f t="shared" si="0"/>
        <v>1316</v>
      </c>
      <c r="E7" s="9">
        <f t="shared" si="1"/>
        <v>105.28</v>
      </c>
      <c r="F7" s="9">
        <f t="shared" si="2"/>
        <v>1421.28</v>
      </c>
      <c r="G7" s="3">
        <v>0.08</v>
      </c>
    </row>
    <row r="8" spans="1:8" x14ac:dyDescent="0.3">
      <c r="A8" s="21">
        <v>1857</v>
      </c>
      <c r="B8" s="8">
        <v>7</v>
      </c>
      <c r="C8" s="9">
        <v>13</v>
      </c>
      <c r="D8" s="9">
        <f t="shared" si="0"/>
        <v>91</v>
      </c>
      <c r="E8" s="9">
        <f t="shared" si="1"/>
        <v>7.28</v>
      </c>
      <c r="F8" s="9">
        <f t="shared" si="2"/>
        <v>98.28</v>
      </c>
      <c r="G8" s="3">
        <v>0.08</v>
      </c>
    </row>
    <row r="9" spans="1:8" x14ac:dyDescent="0.3">
      <c r="A9" s="21">
        <v>6026</v>
      </c>
      <c r="B9" s="8">
        <v>7</v>
      </c>
      <c r="C9" s="9">
        <v>74</v>
      </c>
      <c r="D9" s="9">
        <f t="shared" si="0"/>
        <v>518</v>
      </c>
      <c r="E9" s="9">
        <f t="shared" si="1"/>
        <v>41.44</v>
      </c>
      <c r="F9" s="9">
        <f t="shared" si="2"/>
        <v>559.44000000000005</v>
      </c>
      <c r="G9" s="3">
        <v>0.08</v>
      </c>
    </row>
    <row r="10" spans="1:8" x14ac:dyDescent="0.3">
      <c r="A10" s="21">
        <v>2126</v>
      </c>
      <c r="B10" s="8">
        <v>11</v>
      </c>
      <c r="C10" s="9">
        <v>24</v>
      </c>
      <c r="D10" s="9">
        <f t="shared" si="0"/>
        <v>264</v>
      </c>
      <c r="E10" s="9">
        <f t="shared" si="1"/>
        <v>21.12</v>
      </c>
      <c r="F10" s="9">
        <f t="shared" si="2"/>
        <v>285.12</v>
      </c>
      <c r="G10" s="3">
        <v>0.08</v>
      </c>
    </row>
    <row r="11" spans="1:8" x14ac:dyDescent="0.3">
      <c r="A11" s="21">
        <v>3933</v>
      </c>
      <c r="B11" s="8">
        <v>13</v>
      </c>
      <c r="C11" s="9">
        <v>54</v>
      </c>
      <c r="D11" s="9">
        <f t="shared" si="0"/>
        <v>702</v>
      </c>
      <c r="E11" s="9">
        <f t="shared" si="1"/>
        <v>56.160000000000004</v>
      </c>
      <c r="F11" s="9">
        <f t="shared" si="2"/>
        <v>758.16</v>
      </c>
      <c r="G11" s="3">
        <v>0.08</v>
      </c>
    </row>
    <row r="12" spans="1:8" x14ac:dyDescent="0.3">
      <c r="A12" s="21">
        <v>7649</v>
      </c>
      <c r="B12" s="8">
        <v>19</v>
      </c>
      <c r="C12" s="9">
        <v>56</v>
      </c>
      <c r="D12" s="9">
        <f t="shared" si="0"/>
        <v>1064</v>
      </c>
      <c r="E12" s="9">
        <f t="shared" si="1"/>
        <v>85.12</v>
      </c>
      <c r="F12" s="9">
        <f t="shared" si="2"/>
        <v>1149.1199999999999</v>
      </c>
      <c r="G12" s="3">
        <v>0.08</v>
      </c>
    </row>
    <row r="13" spans="1:8" x14ac:dyDescent="0.3">
      <c r="A13" s="21">
        <v>4044</v>
      </c>
      <c r="B13" s="8">
        <v>6</v>
      </c>
      <c r="C13" s="9">
        <v>55</v>
      </c>
      <c r="D13" s="9">
        <f t="shared" si="0"/>
        <v>330</v>
      </c>
      <c r="E13" s="9">
        <f t="shared" si="1"/>
        <v>26.400000000000002</v>
      </c>
      <c r="F13" s="9">
        <f t="shared" si="2"/>
        <v>356.4</v>
      </c>
      <c r="G13" s="3">
        <v>0.08</v>
      </c>
    </row>
    <row r="14" spans="1:8" x14ac:dyDescent="0.3">
      <c r="A14" s="21">
        <v>3928</v>
      </c>
      <c r="B14" s="8">
        <v>14</v>
      </c>
      <c r="C14" s="9">
        <v>48</v>
      </c>
      <c r="D14" s="9">
        <f t="shared" si="0"/>
        <v>672</v>
      </c>
      <c r="E14" s="9">
        <f t="shared" si="1"/>
        <v>53.76</v>
      </c>
      <c r="F14" s="9">
        <f t="shared" si="2"/>
        <v>725.76</v>
      </c>
      <c r="G14" s="3">
        <v>0.08</v>
      </c>
    </row>
    <row r="15" spans="1:8" x14ac:dyDescent="0.3">
      <c r="A15" s="21">
        <v>9021</v>
      </c>
      <c r="B15" s="8">
        <v>10</v>
      </c>
      <c r="C15" s="9">
        <v>64</v>
      </c>
      <c r="D15" s="9">
        <f t="shared" si="0"/>
        <v>640</v>
      </c>
      <c r="E15" s="9">
        <f t="shared" si="1"/>
        <v>51.2</v>
      </c>
      <c r="F15" s="9">
        <f t="shared" si="2"/>
        <v>691.2</v>
      </c>
      <c r="G15" s="3">
        <v>0.08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56AE-51A7-45F3-B752-B0C891DD0413}">
  <sheetPr>
    <tabColor theme="7" tint="0.59999389629810485"/>
  </sheetPr>
  <dimension ref="A1:E5"/>
  <sheetViews>
    <sheetView showGridLines="0" zoomScale="175" zoomScaleNormal="175" workbookViewId="0">
      <selection activeCell="C14" sqref="C14"/>
    </sheetView>
  </sheetViews>
  <sheetFormatPr defaultRowHeight="14.4" x14ac:dyDescent="0.3"/>
  <cols>
    <col min="1" max="1" width="20.33203125" bestFit="1" customWidth="1"/>
    <col min="2" max="2" width="19.88671875" bestFit="1" customWidth="1"/>
    <col min="3" max="4" width="22" bestFit="1" customWidth="1"/>
    <col min="5" max="5" width="22.6640625" bestFit="1" customWidth="1"/>
  </cols>
  <sheetData>
    <row r="1" spans="1:5" ht="23.4" x14ac:dyDescent="0.45">
      <c r="A1" s="24" t="s">
        <v>6</v>
      </c>
      <c r="B1" s="24"/>
      <c r="C1" s="24"/>
      <c r="D1" s="24"/>
      <c r="E1" s="24"/>
    </row>
    <row r="2" spans="1:5" ht="16.5" customHeight="1" x14ac:dyDescent="0.3">
      <c r="A2" s="7"/>
      <c r="B2" s="6" t="s">
        <v>9</v>
      </c>
      <c r="C2" s="4" t="s">
        <v>11</v>
      </c>
      <c r="D2" s="4" t="s">
        <v>16</v>
      </c>
      <c r="E2" s="4" t="s">
        <v>15</v>
      </c>
    </row>
    <row r="3" spans="1:5" x14ac:dyDescent="0.3">
      <c r="A3" s="10" t="s">
        <v>7</v>
      </c>
      <c r="B3" s="5">
        <f>SalesDowntownJan!H6</f>
        <v>8150.76</v>
      </c>
      <c r="C3">
        <f>COUNTA(SalesDowntownJan!B2:'SalesDowntownJan'!B16)</f>
        <v>15</v>
      </c>
      <c r="D3" s="18">
        <f>COUNTA(SalesDowntownJan!A2:'SalesDowntownJan'!A16)</f>
        <v>15</v>
      </c>
      <c r="E3" s="5">
        <f>AVERAGE(SalesDowntownJan!F5:'SalesDowntownJan'!F16)</f>
        <v>564.21</v>
      </c>
    </row>
    <row r="4" spans="1:5" x14ac:dyDescent="0.3">
      <c r="A4" s="14" t="s">
        <v>8</v>
      </c>
      <c r="B4" s="5">
        <f>SalesUptownJan!H2</f>
        <v>7797.5999999999995</v>
      </c>
      <c r="C4">
        <f>COUNT(SalesUptownJan!B2:'SalesUptownJan'!B15)</f>
        <v>14</v>
      </c>
      <c r="D4" s="18">
        <f>COUNTA(SalesUptownJan!A2:'SalesUptownJan'!A15)</f>
        <v>14</v>
      </c>
      <c r="E4" s="5">
        <f>AVERAGE(SalesUptownJan!F2:'SalesUptownJan'!F15)</f>
        <v>556.97142857142853</v>
      </c>
    </row>
    <row r="5" spans="1:5" x14ac:dyDescent="0.3">
      <c r="A5" s="4" t="s">
        <v>12</v>
      </c>
      <c r="B5" s="5">
        <f>B3+B4</f>
        <v>15948.36</v>
      </c>
      <c r="C5">
        <f>C3+C4</f>
        <v>29</v>
      </c>
      <c r="D5" s="19">
        <f>D3+D4</f>
        <v>29</v>
      </c>
      <c r="E5" s="17">
        <f>E3+E4</f>
        <v>1121.1814285714286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SalesDowntownJan</vt:lpstr>
      <vt:lpstr>SalesUptownJan</vt:lpstr>
      <vt:lpstr>SalesSummaryJan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Kaufman, Brian</dc:creator>
  <cp:keywords/>
  <dc:description/>
  <cp:lastModifiedBy>calebndifon2@gmail.com</cp:lastModifiedBy>
  <cp:revision/>
  <dcterms:created xsi:type="dcterms:W3CDTF">2024-03-26T19:45:07Z</dcterms:created>
  <dcterms:modified xsi:type="dcterms:W3CDTF">2026-07-02T12:01:45Z</dcterms:modified>
  <cp:category/>
  <cp:contentStatus/>
</cp:coreProperties>
</file>