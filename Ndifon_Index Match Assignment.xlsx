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a02095870d75e/Documents/DATA_Labs/Capstone_3/"/>
    </mc:Choice>
  </mc:AlternateContent>
  <xr:revisionPtr revIDLastSave="0" documentId="8_{C4944946-FF82-4B28-A366-83EC411C730C}" xr6:coauthVersionLast="47" xr6:coauthVersionMax="47" xr10:uidLastSave="{00000000-0000-0000-0000-000000000000}"/>
  <bookViews>
    <workbookView xWindow="-108" yWindow="-108" windowWidth="23256" windowHeight="12456" xr2:uid="{1B9089D4-B49C-4E65-9820-632C997D436C}"/>
  </bookViews>
  <sheets>
    <sheet name="QuickSe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<sst xmlns="http://schemas.openxmlformats.org/spreadsheetml/2006/main" count="57" uniqueCount="55">
  <si>
    <t>State Profiles</t>
  </si>
  <si>
    <t>State</t>
  </si>
  <si>
    <t>Capital</t>
  </si>
  <si>
    <t>Arizona</t>
  </si>
  <si>
    <t>Phoenix</t>
  </si>
  <si>
    <t>Technology and manufacturing</t>
  </si>
  <si>
    <t>Intel Corporation</t>
  </si>
  <si>
    <t>Texas</t>
  </si>
  <si>
    <t>Austin</t>
  </si>
  <si>
    <t>Energy (oil and gas)</t>
  </si>
  <si>
    <t>Exxon Mobil Corporation</t>
  </si>
  <si>
    <t>Ohio</t>
  </si>
  <si>
    <t>Columbus</t>
  </si>
  <si>
    <t>Manufacturing (automotive and aerospace)</t>
  </si>
  <si>
    <t>Procter &amp; Gamble</t>
  </si>
  <si>
    <t>Indiana</t>
  </si>
  <si>
    <t>Indianapolis</t>
  </si>
  <si>
    <t>Automotive manufacturing</t>
  </si>
  <si>
    <t>Eli Lilly and Company</t>
  </si>
  <si>
    <t>Colorado</t>
  </si>
  <si>
    <t>Denver</t>
  </si>
  <si>
    <t>Technology and outdoor recreation</t>
  </si>
  <si>
    <t>Ball Corporation</t>
  </si>
  <si>
    <t>Tennessee</t>
  </si>
  <si>
    <t>Nashville</t>
  </si>
  <si>
    <t>Music and entertainment</t>
  </si>
  <si>
    <t>FedEx Corporation</t>
  </si>
  <si>
    <t>Oklahoma</t>
  </si>
  <si>
    <t>Oklahoma City</t>
  </si>
  <si>
    <t>Oil and gas</t>
  </si>
  <si>
    <t>Devon Energy Corporation</t>
  </si>
  <si>
    <t>Massachusetts</t>
  </si>
  <si>
    <t>Boston</t>
  </si>
  <si>
    <t>Biotechnology and healthcare</t>
  </si>
  <si>
    <t>Biogen Inc.</t>
  </si>
  <si>
    <t>California</t>
  </si>
  <si>
    <t>Sacramento</t>
  </si>
  <si>
    <t>Technology and entertainment</t>
  </si>
  <si>
    <t>Apple Inc.</t>
  </si>
  <si>
    <t>Georgia</t>
  </si>
  <si>
    <t>Atlanta</t>
  </si>
  <si>
    <t>Film and television production</t>
  </si>
  <si>
    <t>The Home Depot</t>
  </si>
  <si>
    <t>State (e.g. Arizona)</t>
  </si>
  <si>
    <t>Result</t>
  </si>
  <si>
    <t>Population</t>
  </si>
  <si>
    <t>Industry</t>
  </si>
  <si>
    <t>Company</t>
  </si>
  <si>
    <t>&lt;--- Do not put a formula here; this is where you type different categories to search</t>
  </si>
  <si>
    <t>&lt;--- Do not put a formula here; this is where you type different state names to search</t>
  </si>
  <si>
    <t>Category (e.g. Population)</t>
  </si>
  <si>
    <t>&lt;--- Type your index match formula here</t>
  </si>
  <si>
    <t>Quick Search (Index Match)</t>
  </si>
  <si>
    <t>Feel free to use the workspace below to build match formulas to test if they work, then go to cell E18 and type the full index match function</t>
  </si>
  <si>
    <t xml:space="preserve">        HINT: It will be an Index formula containing 2 Match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</si>
</sst>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name val="Aptos Narrow"/>
      <family val="2"/>
      <scheme val="minor"/>
    </font>
    <font>
      <b/>
      <sz val="11"/>
      <color rgb="FF000000"/>
      <name val="-Apple-System"/>
      <charset val="1"/>
    </font>
    <font>
      <sz val="11"/>
      <color rgb="FF000000"/>
      <name val="-Apple-System"/>
      <charset val="1"/>
    </font>
    <font>
      <i/>
      <sz val="11"/>
      <color theme="1"/>
      <name val="Aptos Narrow"/>
      <family val="2"/>
      <scheme val="minor"/>
    </font>
    <font>
      <sz val="11"/>
      <color rgb="FF000000"/>
      <name val="-Apple-System"/>
    </font>
    <font>
      <b/>
      <i/>
      <sz val="11"/>
      <color theme="1"/>
      <name val="Aptos Narrow"/>
      <family val="2"/>
      <scheme val="minor"/>
    </font>
    <font>
      <b/>
      <i/>
      <sz val="11"/>
      <color rgb="FF7030A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/>
    <xf numFmtId="0" fontId="3" fillId="0" borderId="2" xfId="0" applyFont="1" applyBorder="1"/>
    <xf numFmtId="0" fontId="6" fillId="0" borderId="2" xfId="0" applyFont="1" applyBorder="1"/>
    <xf numFmtId="0" fontId="4" fillId="0" borderId="2" xfId="0" applyFont="1" applyBorder="1"/>
    <xf numFmtId="3" fontId="4" fillId="0" borderId="2" xfId="0" applyNumberFormat="1" applyFont="1" applyBorder="1"/>
    <xf numFmtId="0" fontId="1" fillId="2" borderId="1" xfId="0" applyFont="1" applyFill="1" applyBorder="1"/>
    <xf numFmtId="0" fontId="7" fillId="0" borderId="0" xfId="0" applyFont="1"/>
    <xf numFmtId="0" fontId="0" fillId="3" borderId="1" xfId="0" applyFill="1" applyBorder="1" applyProtection="1">
      <protection locked="0"/>
    </xf>
    <xf numFmtId="0" fontId="0" fillId="0" borderId="2" xfId="0" applyBorder="1" applyProtection="1">
      <protection locked="0"/>
    </xf>
    <xf numFmtId="0" fontId="1" fillId="2" borderId="5" xfId="0" applyFont="1" applyFill="1" applyBorder="1"/>
    <xf numFmtId="0" fontId="0" fillId="3" borderId="6" xfId="0" applyFill="1" applyBorder="1" applyProtection="1">
      <protection locked="0"/>
    </xf>
    <xf numFmtId="0" fontId="8" fillId="0" borderId="7" xfId="0" applyFont="1" applyBorder="1"/>
    <xf numFmtId="0" fontId="8" fillId="0" borderId="8" xfId="0" applyFont="1" applyBorder="1"/>
    <xf numFmtId="0" fontId="4" fillId="0" borderId="0" xfId="0" applyFont="1"/>
    <xf numFmtId="0" fontId="2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03D6-4BD5-463D-90E8-6E6A7B8F60B8}">
  <dimension ref="A1:F26"/>
  <sheetViews>
    <sheetView showGridLines="0" tabSelected="1" zoomScale="160" zoomScaleNormal="160" workbookViewId="0">
      <pane ySplit="2" topLeftCell="A10" activePane="bottomLeft" state="frozen"/>
      <selection pane="bottomLeft" activeCell="E18" sqref="E18"/>
    </sheetView>
  </sheetViews>
  <sheetFormatPr defaultRowHeight="14.4"/>
  <cols>
    <col min="1" max="1" width="15.44140625" bestFit="1" customWidth="1"/>
    <col min="2" max="2" width="14.88671875" bestFit="1" customWidth="1"/>
    <col min="3" max="3" width="11.88671875" bestFit="1" customWidth="1"/>
    <col min="4" max="4" width="41.44140625" bestFit="1" customWidth="1"/>
    <col min="5" max="5" width="26.109375" bestFit="1" customWidth="1"/>
    <col min="6" max="6" width="77.5546875" bestFit="1" customWidth="1"/>
  </cols>
  <sheetData>
    <row r="1" spans="1:6" ht="28.8">
      <c r="A1" s="15" t="s">
        <v>0</v>
      </c>
      <c r="B1" s="15"/>
      <c r="C1" s="15"/>
      <c r="D1" s="15"/>
      <c r="E1" s="15"/>
    </row>
    <row r="2" spans="1:6">
      <c r="A2" s="2" t="s">
        <v>1</v>
      </c>
      <c r="B2" s="2" t="s">
        <v>2</v>
      </c>
      <c r="C2" s="2" t="s">
        <v>45</v>
      </c>
      <c r="D2" s="2" t="s">
        <v>46</v>
      </c>
      <c r="E2" s="2" t="s">
        <v>47</v>
      </c>
    </row>
    <row r="3" spans="1:6">
      <c r="A3" s="3" t="s">
        <v>3</v>
      </c>
      <c r="B3" s="4" t="s">
        <v>4</v>
      </c>
      <c r="C3" s="5">
        <v>1676481</v>
      </c>
      <c r="D3" s="4" t="s">
        <v>5</v>
      </c>
      <c r="E3" s="4" t="s">
        <v>6</v>
      </c>
    </row>
    <row r="4" spans="1:6">
      <c r="A4" s="3" t="s">
        <v>7</v>
      </c>
      <c r="B4" s="4" t="s">
        <v>8</v>
      </c>
      <c r="C4" s="5">
        <v>983126</v>
      </c>
      <c r="D4" s="4" t="s">
        <v>9</v>
      </c>
      <c r="E4" s="4" t="s">
        <v>10</v>
      </c>
    </row>
    <row r="5" spans="1:6">
      <c r="A5" s="3" t="s">
        <v>11</v>
      </c>
      <c r="B5" s="4" t="s">
        <v>12</v>
      </c>
      <c r="C5" s="5">
        <v>909676</v>
      </c>
      <c r="D5" s="4" t="s">
        <v>13</v>
      </c>
      <c r="E5" s="4" t="s">
        <v>14</v>
      </c>
    </row>
    <row r="6" spans="1:6">
      <c r="A6" s="3" t="s">
        <v>15</v>
      </c>
      <c r="B6" s="4" t="s">
        <v>16</v>
      </c>
      <c r="C6" s="5">
        <v>874089</v>
      </c>
      <c r="D6" s="4" t="s">
        <v>17</v>
      </c>
      <c r="E6" s="4" t="s">
        <v>18</v>
      </c>
    </row>
    <row r="7" spans="1:6">
      <c r="A7" s="3" t="s">
        <v>19</v>
      </c>
      <c r="B7" s="4" t="s">
        <v>20</v>
      </c>
      <c r="C7" s="5">
        <v>708948</v>
      </c>
      <c r="D7" s="4" t="s">
        <v>21</v>
      </c>
      <c r="E7" s="4" t="s">
        <v>22</v>
      </c>
    </row>
    <row r="8" spans="1:6">
      <c r="A8" s="3" t="s">
        <v>23</v>
      </c>
      <c r="B8" s="4" t="s">
        <v>24</v>
      </c>
      <c r="C8" s="5">
        <v>677519</v>
      </c>
      <c r="D8" s="4" t="s">
        <v>25</v>
      </c>
      <c r="E8" s="4" t="s">
        <v>26</v>
      </c>
    </row>
    <row r="9" spans="1:6">
      <c r="A9" s="3" t="s">
        <v>27</v>
      </c>
      <c r="B9" s="4" t="s">
        <v>28</v>
      </c>
      <c r="C9" s="5">
        <v>706576</v>
      </c>
      <c r="D9" s="4" t="s">
        <v>29</v>
      </c>
      <c r="E9" s="4" t="s">
        <v>30</v>
      </c>
    </row>
    <row r="10" spans="1:6">
      <c r="A10" s="3" t="s">
        <v>31</v>
      </c>
      <c r="B10" s="4" t="s">
        <v>32</v>
      </c>
      <c r="C10" s="5">
        <v>675647</v>
      </c>
      <c r="D10" s="4" t="s">
        <v>33</v>
      </c>
      <c r="E10" s="4" t="s">
        <v>34</v>
      </c>
    </row>
    <row r="11" spans="1:6">
      <c r="A11" s="3" t="s">
        <v>35</v>
      </c>
      <c r="B11" s="4" t="s">
        <v>36</v>
      </c>
      <c r="C11" s="5">
        <v>524943</v>
      </c>
      <c r="D11" s="4" t="s">
        <v>37</v>
      </c>
      <c r="E11" s="4" t="s">
        <v>38</v>
      </c>
    </row>
    <row r="12" spans="1:6">
      <c r="A12" s="3" t="s">
        <v>39</v>
      </c>
      <c r="B12" s="4" t="s">
        <v>40</v>
      </c>
      <c r="C12" s="5">
        <v>498715</v>
      </c>
      <c r="D12" s="4" t="s">
        <v>41</v>
      </c>
      <c r="E12" s="4" t="s">
        <v>42</v>
      </c>
    </row>
    <row r="15" spans="1:6">
      <c r="D15" s="16" t="s">
        <v>52</v>
      </c>
      <c r="E15" s="16"/>
    </row>
    <row r="16" spans="1:6">
      <c r="B16" s="14"/>
      <c r="D16" s="6" t="s">
        <v>43</v>
      </c>
      <c r="E16" s="8" t="s">
        <v>7</v>
      </c>
      <c r="F16" s="7" t="s">
        <v>49</v>
      </c>
    </row>
    <row r="17" spans="4:6">
      <c r="D17" s="6" t="s">
        <v>50</v>
      </c>
      <c r="E17" s="11" t="s">
        <v>2</v>
      </c>
      <c r="F17" s="7" t="s">
        <v>48</v>
      </c>
    </row>
    <row r="18" spans="4:6">
      <c r="D18" s="10" t="s">
        <v>44</v>
      </c>
      <c r="E18" t="str">
        <f>INDEX(A3:E12,MATCH(E16,A3:A12,0),MATCH(E17,A2:E2,0))</f>
        <v>Austin</v>
      </c>
      <c r="F18" s="12" t="s">
        <v>51</v>
      </c>
    </row>
    <row r="19" spans="4:6">
      <c r="F19" s="13" t="s">
        <v>54</v>
      </c>
    </row>
    <row r="20" spans="4:6" ht="30" customHeight="1">
      <c r="D20" s="17" t="s">
        <v>53</v>
      </c>
      <c r="E20" s="18"/>
    </row>
    <row r="21" spans="4:6">
      <c r="D21" s="9"/>
      <c r="E21" s="9"/>
    </row>
    <row r="22" spans="4:6">
      <c r="D22" s="9"/>
      <c r="E22" s="9"/>
    </row>
    <row r="23" spans="4:6">
      <c r="D23" s="9"/>
      <c r="E23" s="9"/>
    </row>
    <row r="24" spans="4:6">
      <c r="D24" s="9"/>
      <c r="E24" s="9"/>
    </row>
    <row r="25" spans="4:6">
      <c r="D25" s="9"/>
      <c r="E25" s="9"/>
    </row>
    <row r="26" spans="4:6">
      <c r="D26" s="1"/>
    </row>
  </sheetData>
  <mergeCells count="3">
    <mergeCell ref="A1:E1"/>
    <mergeCell ref="D15:E15"/>
    <mergeCell ref="D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Reames</dc:creator>
  <cp:lastModifiedBy>calebndifon2@gmail.com</cp:lastModifiedBy>
  <dcterms:created xsi:type="dcterms:W3CDTF">2025-11-06T23:02:58Z</dcterms:created>
  <dcterms:modified xsi:type="dcterms:W3CDTF">2026-07-03T23:56:54Z</dcterms:modified>
</cp:coreProperties>
</file>