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DATA_Labs/Capstone_3/"/>
    </mc:Choice>
  </mc:AlternateContent>
  <xr:revisionPtr revIDLastSave="0" documentId="8_{788C5298-17AE-43F8-8612-5E214CD8DE9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ventory" sheetId="1" r:id="rId1"/>
    <sheet name="JanSales" sheetId="2" r:id="rId2"/>
    <sheet name="FebSales" sheetId="3" r:id="rId3"/>
    <sheet name="MarSales" sheetId="4" r:id="rId4"/>
    <sheet name="Q1 Sales Summary" sheetId="5" r:id="rId5"/>
    <sheet name="QuickSearch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B4" i="5"/>
  <c r="B3" i="5"/>
  <c r="B2" i="5"/>
  <c r="G3" i="4"/>
  <c r="G4" i="4"/>
  <c r="G5" i="4"/>
  <c r="C11" i="5" s="1"/>
  <c r="G6" i="4"/>
  <c r="G7" i="4"/>
  <c r="G8" i="4"/>
  <c r="G9" i="4"/>
  <c r="G10" i="4"/>
  <c r="G11" i="4"/>
  <c r="G12" i="4"/>
  <c r="G13" i="4"/>
  <c r="G14" i="4"/>
  <c r="G15" i="4"/>
  <c r="G16" i="4"/>
  <c r="G1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C3" i="4"/>
  <c r="D11" i="5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B11" i="5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C19" i="2"/>
  <c r="C3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B10" i="5" l="1"/>
  <c r="D10" i="5"/>
  <c r="D9" i="5"/>
  <c r="C9" i="5"/>
  <c r="B9" i="5"/>
  <c r="C10" i="5"/>
</calcChain>
</file>

<file path=xl/sharedStrings.xml><?xml version="1.0" encoding="utf-8"?>
<sst xmlns="http://schemas.openxmlformats.org/spreadsheetml/2006/main" count="154" uniqueCount="52">
  <si>
    <t>Product Name</t>
  </si>
  <si>
    <t>Brand</t>
  </si>
  <si>
    <t>Type</t>
  </si>
  <si>
    <t>Material (Frame)</t>
  </si>
  <si>
    <t>Manufacturing Price</t>
  </si>
  <si>
    <t>Sales Price</t>
  </si>
  <si>
    <t>Ripmo AF</t>
  </si>
  <si>
    <t>Ibis</t>
  </si>
  <si>
    <t>Road</t>
  </si>
  <si>
    <t>Steel</t>
  </si>
  <si>
    <t>Allez Elite</t>
  </si>
  <si>
    <t>Specialized</t>
  </si>
  <si>
    <t>Rockhopper Expert</t>
  </si>
  <si>
    <t>Mountain</t>
  </si>
  <si>
    <t>Titanium</t>
  </si>
  <si>
    <t>Warrior</t>
  </si>
  <si>
    <t>Hybrid</t>
  </si>
  <si>
    <t>Carbon Fiber</t>
  </si>
  <si>
    <t>Quick 4</t>
  </si>
  <si>
    <t>Cannondale</t>
  </si>
  <si>
    <t>Pista Steel</t>
  </si>
  <si>
    <t>Bianchi</t>
  </si>
  <si>
    <t>520 Road</t>
  </si>
  <si>
    <t>Trek</t>
  </si>
  <si>
    <t>680 Climber</t>
  </si>
  <si>
    <t>Ocean Cruiser</t>
  </si>
  <si>
    <t>Kona</t>
  </si>
  <si>
    <t>Fire Mountain</t>
  </si>
  <si>
    <t>Echo</t>
  </si>
  <si>
    <t>Allied Cycle Works</t>
  </si>
  <si>
    <t>A-Type</t>
  </si>
  <si>
    <t>Detroit Bikes</t>
  </si>
  <si>
    <t>Routt RSL</t>
  </si>
  <si>
    <t>Moots</t>
  </si>
  <si>
    <t>Sales Date</t>
  </si>
  <si>
    <t>Item</t>
  </si>
  <si>
    <t>Sales Tax</t>
  </si>
  <si>
    <t>Subtotal</t>
  </si>
  <si>
    <t>Total w/ Shipping</t>
  </si>
  <si>
    <t>Flat Rate Shipping</t>
  </si>
  <si>
    <t>Monthly Sales</t>
  </si>
  <si>
    <t>January Sales Total</t>
  </si>
  <si>
    <t>February Sales Total</t>
  </si>
  <si>
    <t>March Sales Total</t>
  </si>
  <si>
    <t>Sales by Type</t>
  </si>
  <si>
    <t>January</t>
  </si>
  <si>
    <t>February</t>
  </si>
  <si>
    <t>March</t>
  </si>
  <si>
    <t>Search by Type and Month</t>
  </si>
  <si>
    <t>Month:</t>
  </si>
  <si>
    <t>Type:</t>
  </si>
  <si>
    <t>Total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</si>
</sst>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6" fontId="1" fillId="0" borderId="1" xfId="0" applyNumberFormat="1" applyFont="1" applyBorder="1"/>
    <xf numFmtId="9" fontId="1" fillId="0" borderId="1" xfId="0" applyNumberFormat="1" applyFont="1" applyBorder="1"/>
    <xf numFmtId="14" fontId="0" fillId="0" borderId="0" xfId="0" applyNumberFormat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workbookViewId="0"/>
  </sheetViews>
  <sheetFormatPr defaultRowHeight="14.4" x14ac:dyDescent="0.3"/>
  <cols>
    <col min="1" max="2" width="21.5546875" customWidth="1"/>
    <col min="3" max="3" width="19.33203125" customWidth="1"/>
    <col min="4" max="4" width="18.88671875" customWidth="1"/>
    <col min="5" max="6" width="21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2239.2999999999997</v>
      </c>
      <c r="F2" s="1">
        <v>3199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 s="1">
        <v>944.99999999999989</v>
      </c>
      <c r="F3" s="1">
        <v>1350</v>
      </c>
    </row>
    <row r="4" spans="1:6" x14ac:dyDescent="0.3">
      <c r="A4" t="s">
        <v>12</v>
      </c>
      <c r="B4" t="s">
        <v>11</v>
      </c>
      <c r="C4" t="s">
        <v>13</v>
      </c>
      <c r="D4" t="s">
        <v>14</v>
      </c>
      <c r="E4" s="1">
        <v>979.99999999999989</v>
      </c>
      <c r="F4" s="1">
        <v>1400</v>
      </c>
    </row>
    <row r="5" spans="1:6" x14ac:dyDescent="0.3">
      <c r="A5" t="s">
        <v>15</v>
      </c>
      <c r="B5" t="s">
        <v>11</v>
      </c>
      <c r="C5" t="s">
        <v>16</v>
      </c>
      <c r="D5" t="s">
        <v>17</v>
      </c>
      <c r="E5" s="1">
        <v>1049.3</v>
      </c>
      <c r="F5" s="1">
        <v>1499</v>
      </c>
    </row>
    <row r="6" spans="1:6" x14ac:dyDescent="0.3">
      <c r="A6" t="s">
        <v>18</v>
      </c>
      <c r="B6" t="s">
        <v>19</v>
      </c>
      <c r="C6" t="s">
        <v>16</v>
      </c>
      <c r="D6" t="s">
        <v>17</v>
      </c>
      <c r="E6" s="1">
        <v>489.99999999999994</v>
      </c>
      <c r="F6" s="1">
        <v>700</v>
      </c>
    </row>
    <row r="7" spans="1:6" x14ac:dyDescent="0.3">
      <c r="A7" t="s">
        <v>20</v>
      </c>
      <c r="B7" t="s">
        <v>21</v>
      </c>
      <c r="C7" t="s">
        <v>8</v>
      </c>
      <c r="D7" t="s">
        <v>9</v>
      </c>
      <c r="E7" s="1">
        <v>560</v>
      </c>
      <c r="F7" s="1">
        <v>800</v>
      </c>
    </row>
    <row r="8" spans="1:6" x14ac:dyDescent="0.3">
      <c r="A8" t="s">
        <v>22</v>
      </c>
      <c r="B8" t="s">
        <v>23</v>
      </c>
      <c r="C8" t="s">
        <v>8</v>
      </c>
      <c r="D8" t="s">
        <v>17</v>
      </c>
      <c r="E8" s="1">
        <v>1176</v>
      </c>
      <c r="F8" s="1">
        <v>1680</v>
      </c>
    </row>
    <row r="9" spans="1:6" x14ac:dyDescent="0.3">
      <c r="A9" t="s">
        <v>24</v>
      </c>
      <c r="B9" t="s">
        <v>23</v>
      </c>
      <c r="C9" t="s">
        <v>13</v>
      </c>
      <c r="D9" t="s">
        <v>17</v>
      </c>
      <c r="E9" s="1">
        <v>1228.5</v>
      </c>
      <c r="F9" s="1">
        <v>1755</v>
      </c>
    </row>
    <row r="10" spans="1:6" x14ac:dyDescent="0.3">
      <c r="A10" t="s">
        <v>25</v>
      </c>
      <c r="B10" t="s">
        <v>26</v>
      </c>
      <c r="C10" t="s">
        <v>8</v>
      </c>
      <c r="D10" t="s">
        <v>9</v>
      </c>
      <c r="E10" s="1">
        <v>524.29999999999995</v>
      </c>
      <c r="F10" s="1">
        <v>749</v>
      </c>
    </row>
    <row r="11" spans="1:6" x14ac:dyDescent="0.3">
      <c r="A11" t="s">
        <v>27</v>
      </c>
      <c r="B11" t="s">
        <v>26</v>
      </c>
      <c r="C11" t="s">
        <v>13</v>
      </c>
      <c r="D11" t="s">
        <v>14</v>
      </c>
      <c r="E11" s="1">
        <v>629.29999999999995</v>
      </c>
      <c r="F11" s="1">
        <v>899</v>
      </c>
    </row>
    <row r="12" spans="1:6" x14ac:dyDescent="0.3">
      <c r="A12" t="s">
        <v>28</v>
      </c>
      <c r="B12" t="s">
        <v>29</v>
      </c>
      <c r="C12" t="s">
        <v>16</v>
      </c>
      <c r="D12" t="s">
        <v>17</v>
      </c>
      <c r="E12" s="1">
        <v>454.99999999999994</v>
      </c>
      <c r="F12" s="1">
        <v>650</v>
      </c>
    </row>
    <row r="13" spans="1:6" x14ac:dyDescent="0.3">
      <c r="A13" t="s">
        <v>30</v>
      </c>
      <c r="B13" t="s">
        <v>31</v>
      </c>
      <c r="C13" t="s">
        <v>16</v>
      </c>
      <c r="D13" t="s">
        <v>14</v>
      </c>
      <c r="E13" s="1">
        <v>1119.3</v>
      </c>
      <c r="F13" s="1">
        <v>1599</v>
      </c>
    </row>
    <row r="14" spans="1:6" x14ac:dyDescent="0.3">
      <c r="A14" t="s">
        <v>32</v>
      </c>
      <c r="B14" t="s">
        <v>33</v>
      </c>
      <c r="C14" t="s">
        <v>8</v>
      </c>
      <c r="D14" t="s">
        <v>9</v>
      </c>
      <c r="E14" s="1">
        <v>315</v>
      </c>
      <c r="F14" s="1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E803-05A5-4EBD-887D-4E63600390C5}">
  <sheetPr codeName="Sheet2"/>
  <dimension ref="A1:I19"/>
  <sheetViews>
    <sheetView showFormulas="1" workbookViewId="0">
      <selection activeCell="G2" sqref="G2"/>
    </sheetView>
  </sheetViews>
  <sheetFormatPr defaultRowHeight="14.4" x14ac:dyDescent="0.3"/>
  <cols>
    <col min="1" max="2" width="22.33203125" customWidth="1"/>
    <col min="3" max="3" width="15.8867187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45292</v>
      </c>
      <c r="B2" t="s">
        <v>30</v>
      </c>
      <c r="C2" t="str">
        <f>_xlfn.XLOOKUP(B2,Inventory!A:A,Inventory!C:C,"")</f>
        <v>Hybrid</v>
      </c>
      <c r="D2" s="1">
        <f>_xlfn.XLOOKUP(B2,Inventory!A:A,Inventory!F:F,"")</f>
        <v>1599</v>
      </c>
      <c r="E2" s="1">
        <f>D2*$I$4</f>
        <v>127.92</v>
      </c>
      <c r="F2" s="1">
        <f>D2+E2</f>
        <v>1726.92</v>
      </c>
      <c r="G2" s="1">
        <f>F2+$I$7</f>
        <v>1801.92</v>
      </c>
    </row>
    <row r="3" spans="1:9" x14ac:dyDescent="0.3">
      <c r="A3" s="7">
        <v>45294</v>
      </c>
      <c r="B3" t="s">
        <v>18</v>
      </c>
      <c r="C3" t="str">
        <f>_xlfn.XLOOKUP(B3,Inventory!A:A,Inventory!C:C,"")</f>
        <v>Hybrid</v>
      </c>
      <c r="D3" s="1">
        <f>_xlfn.XLOOKUP(B3,Inventory!A:A,Inventory!F:F,"")</f>
        <v>700</v>
      </c>
      <c r="E3" s="1">
        <f t="shared" ref="E3:E19" si="0">D3*$I$4</f>
        <v>56</v>
      </c>
      <c r="F3" s="1">
        <f t="shared" ref="F3:F19" si="1">D3+E3</f>
        <v>756</v>
      </c>
      <c r="G3" s="1">
        <f t="shared" ref="G3:G19" si="2">F3+$I$7</f>
        <v>831</v>
      </c>
      <c r="I3" s="4" t="s">
        <v>36</v>
      </c>
    </row>
    <row r="4" spans="1:9" x14ac:dyDescent="0.3">
      <c r="A4" s="7">
        <v>45294</v>
      </c>
      <c r="B4" t="s">
        <v>20</v>
      </c>
      <c r="C4" t="str">
        <f>_xlfn.XLOOKUP(B4,Inventory!A:A,Inventory!C:C,"")</f>
        <v>Road</v>
      </c>
      <c r="D4" s="1">
        <f>_xlfn.XLOOKUP(B4,Inventory!A:A,Inventory!F:F,"")</f>
        <v>800</v>
      </c>
      <c r="E4" s="1">
        <f t="shared" si="0"/>
        <v>64</v>
      </c>
      <c r="F4" s="1">
        <f t="shared" si="1"/>
        <v>864</v>
      </c>
      <c r="G4" s="1">
        <f t="shared" si="2"/>
        <v>939</v>
      </c>
      <c r="I4" s="6">
        <v>0.08</v>
      </c>
    </row>
    <row r="5" spans="1:9" x14ac:dyDescent="0.3">
      <c r="A5" s="7">
        <v>45294</v>
      </c>
      <c r="B5" t="s">
        <v>25</v>
      </c>
      <c r="C5" t="str">
        <f>_xlfn.XLOOKUP(B5,Inventory!A:A,Inventory!C:C,"")</f>
        <v>Road</v>
      </c>
      <c r="D5" s="1">
        <f>_xlfn.XLOOKUP(B5,Inventory!A:A,Inventory!F:F,"")</f>
        <v>749</v>
      </c>
      <c r="E5" s="1">
        <f t="shared" si="0"/>
        <v>59.92</v>
      </c>
      <c r="F5" s="1">
        <f t="shared" si="1"/>
        <v>808.92</v>
      </c>
      <c r="G5" s="1">
        <f t="shared" si="2"/>
        <v>883.92</v>
      </c>
    </row>
    <row r="6" spans="1:9" x14ac:dyDescent="0.3">
      <c r="A6" s="7">
        <v>45298</v>
      </c>
      <c r="B6" t="s">
        <v>22</v>
      </c>
      <c r="C6" t="str">
        <f>_xlfn.XLOOKUP(B6,Inventory!A:A,Inventory!C:C,"")</f>
        <v>Road</v>
      </c>
      <c r="D6" s="1">
        <f>_xlfn.XLOOKUP(B6,Inventory!A:A,Inventory!F:F,"")</f>
        <v>1680</v>
      </c>
      <c r="E6" s="1">
        <f t="shared" si="0"/>
        <v>134.4</v>
      </c>
      <c r="F6" s="1">
        <f t="shared" si="1"/>
        <v>1814.4</v>
      </c>
      <c r="G6" s="1">
        <f t="shared" si="2"/>
        <v>1889.4</v>
      </c>
      <c r="I6" s="4" t="s">
        <v>39</v>
      </c>
    </row>
    <row r="7" spans="1:9" x14ac:dyDescent="0.3">
      <c r="A7" s="7">
        <v>45300</v>
      </c>
      <c r="B7" t="s">
        <v>32</v>
      </c>
      <c r="C7" t="str">
        <f>_xlfn.XLOOKUP(B7,Inventory!A:A,Inventory!C:C,"")</f>
        <v>Road</v>
      </c>
      <c r="D7" s="1">
        <f>_xlfn.XLOOKUP(B7,Inventory!A:A,Inventory!F:F,"")</f>
        <v>450</v>
      </c>
      <c r="E7" s="1">
        <f t="shared" si="0"/>
        <v>36</v>
      </c>
      <c r="F7" s="1">
        <f t="shared" si="1"/>
        <v>486</v>
      </c>
      <c r="G7" s="1">
        <f t="shared" si="2"/>
        <v>561</v>
      </c>
      <c r="I7" s="5">
        <v>75</v>
      </c>
    </row>
    <row r="8" spans="1:9" x14ac:dyDescent="0.3">
      <c r="A8" s="7">
        <v>45301</v>
      </c>
      <c r="B8" t="s">
        <v>18</v>
      </c>
      <c r="C8" t="str">
        <f>_xlfn.XLOOKUP(B8,Inventory!A:A,Inventory!C:C,"")</f>
        <v>Hybrid</v>
      </c>
      <c r="D8" s="1">
        <f>_xlfn.XLOOKUP(B8,Inventory!A:A,Inventory!F:F,"")</f>
        <v>700</v>
      </c>
      <c r="E8" s="1">
        <f t="shared" si="0"/>
        <v>56</v>
      </c>
      <c r="F8" s="1">
        <f t="shared" si="1"/>
        <v>756</v>
      </c>
      <c r="G8" s="1">
        <f t="shared" si="2"/>
        <v>831</v>
      </c>
    </row>
    <row r="9" spans="1:9" x14ac:dyDescent="0.3">
      <c r="A9" s="7">
        <v>45304</v>
      </c>
      <c r="B9" t="s">
        <v>22</v>
      </c>
      <c r="C9" t="str">
        <f>_xlfn.XLOOKUP(B9,Inventory!A:A,Inventory!C:C,"")</f>
        <v>Road</v>
      </c>
      <c r="D9" s="1">
        <f>_xlfn.XLOOKUP(B9,Inventory!A:A,Inventory!F:F,"")</f>
        <v>1680</v>
      </c>
      <c r="E9" s="1">
        <f t="shared" si="0"/>
        <v>134.4</v>
      </c>
      <c r="F9" s="1">
        <f t="shared" si="1"/>
        <v>1814.4</v>
      </c>
      <c r="G9" s="1">
        <f t="shared" si="2"/>
        <v>1889.4</v>
      </c>
    </row>
    <row r="10" spans="1:9" x14ac:dyDescent="0.3">
      <c r="A10" s="7">
        <v>45305</v>
      </c>
      <c r="B10" t="s">
        <v>6</v>
      </c>
      <c r="C10" t="str">
        <f>_xlfn.XLOOKUP(B10,Inventory!A:A,Inventory!C:C,"")</f>
        <v>Road</v>
      </c>
      <c r="D10" s="1">
        <f>_xlfn.XLOOKUP(B10,Inventory!A:A,Inventory!F:F,"")</f>
        <v>3199</v>
      </c>
      <c r="E10" s="1">
        <f t="shared" si="0"/>
        <v>255.92000000000002</v>
      </c>
      <c r="F10" s="1">
        <f t="shared" si="1"/>
        <v>3454.92</v>
      </c>
      <c r="G10" s="1">
        <f t="shared" si="2"/>
        <v>3529.92</v>
      </c>
    </row>
    <row r="11" spans="1:9" x14ac:dyDescent="0.3">
      <c r="A11" s="7">
        <v>45306</v>
      </c>
      <c r="B11" t="s">
        <v>30</v>
      </c>
      <c r="C11" t="str">
        <f>_xlfn.XLOOKUP(B11,Inventory!A:A,Inventory!C:C,"")</f>
        <v>Hybrid</v>
      </c>
      <c r="D11" s="1">
        <f>_xlfn.XLOOKUP(B11,Inventory!A:A,Inventory!F:F,"")</f>
        <v>1599</v>
      </c>
      <c r="E11" s="1">
        <f t="shared" si="0"/>
        <v>127.92</v>
      </c>
      <c r="F11" s="1">
        <f t="shared" si="1"/>
        <v>1726.92</v>
      </c>
      <c r="G11" s="1">
        <f t="shared" si="2"/>
        <v>1801.92</v>
      </c>
    </row>
    <row r="12" spans="1:9" x14ac:dyDescent="0.3">
      <c r="A12" s="7">
        <v>45306</v>
      </c>
      <c r="B12" t="s">
        <v>24</v>
      </c>
      <c r="C12" t="str">
        <f>_xlfn.XLOOKUP(B12,Inventory!A:A,Inventory!C:C,"")</f>
        <v>Mountain</v>
      </c>
      <c r="D12" s="1">
        <f>_xlfn.XLOOKUP(B12,Inventory!A:A,Inventory!F:F,"")</f>
        <v>1755</v>
      </c>
      <c r="E12" s="1">
        <f t="shared" si="0"/>
        <v>140.4</v>
      </c>
      <c r="F12" s="1">
        <f t="shared" si="1"/>
        <v>1895.4</v>
      </c>
      <c r="G12" s="1">
        <f t="shared" si="2"/>
        <v>1970.4</v>
      </c>
    </row>
    <row r="13" spans="1:9" x14ac:dyDescent="0.3">
      <c r="A13" s="7">
        <v>45306</v>
      </c>
      <c r="B13" t="s">
        <v>25</v>
      </c>
      <c r="C13" t="str">
        <f>_xlfn.XLOOKUP(B13,Inventory!A:A,Inventory!C:C,"")</f>
        <v>Road</v>
      </c>
      <c r="D13" s="1">
        <f>_xlfn.XLOOKUP(B13,Inventory!A:A,Inventory!F:F,"")</f>
        <v>749</v>
      </c>
      <c r="E13" s="1">
        <f t="shared" si="0"/>
        <v>59.92</v>
      </c>
      <c r="F13" s="1">
        <f t="shared" si="1"/>
        <v>808.92</v>
      </c>
      <c r="G13" s="1">
        <f t="shared" si="2"/>
        <v>883.92</v>
      </c>
    </row>
    <row r="14" spans="1:9" x14ac:dyDescent="0.3">
      <c r="A14" s="7">
        <v>45312</v>
      </c>
      <c r="B14" t="s">
        <v>15</v>
      </c>
      <c r="C14" t="str">
        <f>_xlfn.XLOOKUP(B14,Inventory!A:A,Inventory!C:C,"")</f>
        <v>Hybrid</v>
      </c>
      <c r="D14" s="1">
        <f>_xlfn.XLOOKUP(B14,Inventory!A:A,Inventory!F:F,"")</f>
        <v>1499</v>
      </c>
      <c r="E14" s="1">
        <f t="shared" si="0"/>
        <v>119.92</v>
      </c>
      <c r="F14" s="1">
        <f t="shared" si="1"/>
        <v>1618.92</v>
      </c>
      <c r="G14" s="1">
        <f t="shared" si="2"/>
        <v>1693.92</v>
      </c>
    </row>
    <row r="15" spans="1:9" x14ac:dyDescent="0.3">
      <c r="A15" s="7">
        <v>45313</v>
      </c>
      <c r="B15" t="s">
        <v>30</v>
      </c>
      <c r="C15" t="str">
        <f>_xlfn.XLOOKUP(B15,Inventory!A:A,Inventory!C:C,"")</f>
        <v>Hybrid</v>
      </c>
      <c r="D15" s="1">
        <f>_xlfn.XLOOKUP(B15,Inventory!A:A,Inventory!F:F,"")</f>
        <v>1599</v>
      </c>
      <c r="E15" s="1">
        <f t="shared" si="0"/>
        <v>127.92</v>
      </c>
      <c r="F15" s="1">
        <f t="shared" si="1"/>
        <v>1726.92</v>
      </c>
      <c r="G15" s="1">
        <f t="shared" si="2"/>
        <v>1801.92</v>
      </c>
    </row>
    <row r="16" spans="1:9" x14ac:dyDescent="0.3">
      <c r="A16" s="7">
        <v>45313</v>
      </c>
      <c r="B16" t="s">
        <v>24</v>
      </c>
      <c r="C16" t="str">
        <f>_xlfn.XLOOKUP(B16,Inventory!A:A,Inventory!C:C,"")</f>
        <v>Mountain</v>
      </c>
      <c r="D16" s="1">
        <f>_xlfn.XLOOKUP(B16,Inventory!A:A,Inventory!F:F,"")</f>
        <v>1755</v>
      </c>
      <c r="E16" s="1">
        <f t="shared" si="0"/>
        <v>140.4</v>
      </c>
      <c r="F16" s="1">
        <f t="shared" si="1"/>
        <v>1895.4</v>
      </c>
      <c r="G16" s="1">
        <f t="shared" si="2"/>
        <v>1970.4</v>
      </c>
    </row>
    <row r="17" spans="1:7" x14ac:dyDescent="0.3">
      <c r="A17" s="7">
        <v>45318</v>
      </c>
      <c r="B17" t="s">
        <v>6</v>
      </c>
      <c r="C17" t="str">
        <f>_xlfn.XLOOKUP(B17,Inventory!A:A,Inventory!C:C,"")</f>
        <v>Road</v>
      </c>
      <c r="D17" s="1">
        <f>_xlfn.XLOOKUP(B17,Inventory!A:A,Inventory!F:F,"")</f>
        <v>3199</v>
      </c>
      <c r="E17" s="1">
        <f t="shared" si="0"/>
        <v>255.92000000000002</v>
      </c>
      <c r="F17" s="1">
        <f t="shared" si="1"/>
        <v>3454.92</v>
      </c>
      <c r="G17" s="1">
        <f t="shared" si="2"/>
        <v>3529.92</v>
      </c>
    </row>
    <row r="18" spans="1:7" x14ac:dyDescent="0.3">
      <c r="A18" s="7">
        <v>45319</v>
      </c>
      <c r="B18" t="s">
        <v>24</v>
      </c>
      <c r="C18" t="str">
        <f>_xlfn.XLOOKUP(B18,Inventory!A:A,Inventory!C:C,"")</f>
        <v>Mountain</v>
      </c>
      <c r="D18" s="1">
        <f>_xlfn.XLOOKUP(B18,Inventory!A:A,Inventory!F:F,"")</f>
        <v>1755</v>
      </c>
      <c r="E18" s="1">
        <f t="shared" si="0"/>
        <v>140.4</v>
      </c>
      <c r="F18" s="1">
        <f t="shared" si="1"/>
        <v>1895.4</v>
      </c>
      <c r="G18" s="1">
        <f t="shared" si="2"/>
        <v>1970.4</v>
      </c>
    </row>
    <row r="19" spans="1:7" x14ac:dyDescent="0.3">
      <c r="A19" s="7">
        <v>45320</v>
      </c>
      <c r="B19" t="s">
        <v>28</v>
      </c>
      <c r="C19" t="str">
        <f>_xlfn.XLOOKUP(B19,Inventory!A:A,Inventory!C:C,"")</f>
        <v>Hybrid</v>
      </c>
      <c r="D19" s="1">
        <f>_xlfn.XLOOKUP(B19,Inventory!A:A,Inventory!F:F,"")</f>
        <v>650</v>
      </c>
      <c r="E19" s="1">
        <f t="shared" si="0"/>
        <v>52</v>
      </c>
      <c r="F19" s="1">
        <f t="shared" si="1"/>
        <v>702</v>
      </c>
      <c r="G19" s="1">
        <f t="shared" si="2"/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73FB-4D22-464F-AC2C-983F68B9E40A}">
  <sheetPr codeName="Sheet3"/>
  <dimension ref="A1:I20"/>
  <sheetViews>
    <sheetView showFormulas="1" workbookViewId="0">
      <selection activeCell="E2" sqref="E2"/>
    </sheetView>
  </sheetViews>
  <sheetFormatPr defaultRowHeight="14.4" x14ac:dyDescent="0.3"/>
  <cols>
    <col min="1" max="2" width="22.33203125" customWidth="1"/>
    <col min="3" max="3" width="14.4414062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45324</v>
      </c>
      <c r="B2" t="s">
        <v>24</v>
      </c>
      <c r="C2" t="str">
        <f>_xlfn.XLOOKUP(B2,Inventory!A:A,Inventory!C:C,"")</f>
        <v>Mountain</v>
      </c>
      <c r="D2" s="1">
        <f>_xlfn.XLOOKUP(B2,Inventory!A:A,Inventory!F:F,"")</f>
        <v>1755</v>
      </c>
      <c r="E2" s="1">
        <f>D2*$I$4</f>
        <v>140.4</v>
      </c>
      <c r="F2" s="1">
        <f>D2+E2</f>
        <v>1895.4</v>
      </c>
      <c r="G2" s="1">
        <f>F2+$I$7</f>
        <v>1970.4</v>
      </c>
    </row>
    <row r="3" spans="1:9" x14ac:dyDescent="0.3">
      <c r="A3" s="7">
        <v>45324</v>
      </c>
      <c r="B3" t="s">
        <v>25</v>
      </c>
      <c r="C3" t="str">
        <f>_xlfn.XLOOKUP(B3,Inventory!A:A,Inventory!C:C,"")</f>
        <v>Road</v>
      </c>
      <c r="D3" s="1">
        <f>_xlfn.XLOOKUP(B3,Inventory!A:A,Inventory!F:F,"")</f>
        <v>749</v>
      </c>
      <c r="E3" s="1">
        <f t="shared" ref="E3:E19" si="0">D3*$I$4</f>
        <v>59.92</v>
      </c>
      <c r="F3" s="1">
        <f t="shared" ref="F3:F19" si="1">D3+E3</f>
        <v>808.92</v>
      </c>
      <c r="G3" s="1">
        <f t="shared" ref="G3:G19" si="2">F3+$I$7</f>
        <v>883.92</v>
      </c>
      <c r="I3" s="4" t="s">
        <v>36</v>
      </c>
    </row>
    <row r="4" spans="1:9" x14ac:dyDescent="0.3">
      <c r="A4" s="7">
        <v>45324</v>
      </c>
      <c r="B4" t="s">
        <v>32</v>
      </c>
      <c r="C4" t="str">
        <f>_xlfn.XLOOKUP(B4,Inventory!A:A,Inventory!C:C,"")</f>
        <v>Road</v>
      </c>
      <c r="D4" s="1">
        <f>_xlfn.XLOOKUP(B4,Inventory!A:A,Inventory!F:F,"")</f>
        <v>450</v>
      </c>
      <c r="E4" s="1">
        <f t="shared" si="0"/>
        <v>36</v>
      </c>
      <c r="F4" s="1">
        <f t="shared" si="1"/>
        <v>486</v>
      </c>
      <c r="G4" s="1">
        <f t="shared" si="2"/>
        <v>561</v>
      </c>
      <c r="I4" s="6">
        <v>0.08</v>
      </c>
    </row>
    <row r="5" spans="1:9" x14ac:dyDescent="0.3">
      <c r="A5" s="7">
        <v>45324</v>
      </c>
      <c r="B5" t="s">
        <v>15</v>
      </c>
      <c r="C5" t="str">
        <f>_xlfn.XLOOKUP(B5,Inventory!A:A,Inventory!C:C,"")</f>
        <v>Hybrid</v>
      </c>
      <c r="D5" s="1">
        <f>_xlfn.XLOOKUP(B5,Inventory!A:A,Inventory!F:F,"")</f>
        <v>1499</v>
      </c>
      <c r="E5" s="1">
        <f t="shared" si="0"/>
        <v>119.92</v>
      </c>
      <c r="F5" s="1">
        <f t="shared" si="1"/>
        <v>1618.92</v>
      </c>
      <c r="G5" s="1">
        <f t="shared" si="2"/>
        <v>1693.92</v>
      </c>
    </row>
    <row r="6" spans="1:9" x14ac:dyDescent="0.3">
      <c r="A6" s="7">
        <v>45325</v>
      </c>
      <c r="B6" t="s">
        <v>6</v>
      </c>
      <c r="C6" t="str">
        <f>_xlfn.XLOOKUP(B6,Inventory!A:A,Inventory!C:C,"")</f>
        <v>Road</v>
      </c>
      <c r="D6" s="1">
        <f>_xlfn.XLOOKUP(B6,Inventory!A:A,Inventory!F:F,"")</f>
        <v>3199</v>
      </c>
      <c r="E6" s="1">
        <f t="shared" si="0"/>
        <v>255.92000000000002</v>
      </c>
      <c r="F6" s="1">
        <f t="shared" si="1"/>
        <v>3454.92</v>
      </c>
      <c r="G6" s="1">
        <f t="shared" si="2"/>
        <v>3529.92</v>
      </c>
      <c r="I6" s="4" t="s">
        <v>39</v>
      </c>
    </row>
    <row r="7" spans="1:9" x14ac:dyDescent="0.3">
      <c r="A7" s="7">
        <v>45328</v>
      </c>
      <c r="B7" t="s">
        <v>10</v>
      </c>
      <c r="C7" t="str">
        <f>_xlfn.XLOOKUP(B7,Inventory!A:A,Inventory!C:C,"")</f>
        <v>Road</v>
      </c>
      <c r="D7" s="1">
        <f>_xlfn.XLOOKUP(B7,Inventory!A:A,Inventory!F:F,"")</f>
        <v>1350</v>
      </c>
      <c r="E7" s="1">
        <f t="shared" si="0"/>
        <v>108</v>
      </c>
      <c r="F7" s="1">
        <f t="shared" si="1"/>
        <v>1458</v>
      </c>
      <c r="G7" s="1">
        <f t="shared" si="2"/>
        <v>1533</v>
      </c>
      <c r="I7" s="5">
        <v>75</v>
      </c>
    </row>
    <row r="8" spans="1:9" x14ac:dyDescent="0.3">
      <c r="A8" s="7">
        <v>45329</v>
      </c>
      <c r="B8" t="s">
        <v>12</v>
      </c>
      <c r="C8" t="str">
        <f>_xlfn.XLOOKUP(B8,Inventory!A:A,Inventory!C:C,"")</f>
        <v>Mountain</v>
      </c>
      <c r="D8" s="1">
        <f>_xlfn.XLOOKUP(B8,Inventory!A:A,Inventory!F:F,"")</f>
        <v>1400</v>
      </c>
      <c r="E8" s="1">
        <f t="shared" si="0"/>
        <v>112</v>
      </c>
      <c r="F8" s="1">
        <f t="shared" si="1"/>
        <v>1512</v>
      </c>
      <c r="G8" s="1">
        <f t="shared" si="2"/>
        <v>1587</v>
      </c>
    </row>
    <row r="9" spans="1:9" x14ac:dyDescent="0.3">
      <c r="A9" s="7">
        <v>45334</v>
      </c>
      <c r="B9" t="s">
        <v>30</v>
      </c>
      <c r="C9" t="str">
        <f>_xlfn.XLOOKUP(B9,Inventory!A:A,Inventory!C:C,"")</f>
        <v>Hybrid</v>
      </c>
      <c r="D9" s="1">
        <f>_xlfn.XLOOKUP(B9,Inventory!A:A,Inventory!F:F,"")</f>
        <v>1599</v>
      </c>
      <c r="E9" s="1">
        <f t="shared" si="0"/>
        <v>127.92</v>
      </c>
      <c r="F9" s="1">
        <f t="shared" si="1"/>
        <v>1726.92</v>
      </c>
      <c r="G9" s="1">
        <f t="shared" si="2"/>
        <v>1801.92</v>
      </c>
    </row>
    <row r="10" spans="1:9" x14ac:dyDescent="0.3">
      <c r="A10" s="7">
        <v>45335</v>
      </c>
      <c r="B10" t="s">
        <v>20</v>
      </c>
      <c r="C10" t="str">
        <f>_xlfn.XLOOKUP(B10,Inventory!A:A,Inventory!C:C,"")</f>
        <v>Road</v>
      </c>
      <c r="D10" s="1">
        <f>_xlfn.XLOOKUP(B10,Inventory!A:A,Inventory!F:F,"")</f>
        <v>800</v>
      </c>
      <c r="E10" s="1">
        <f t="shared" si="0"/>
        <v>64</v>
      </c>
      <c r="F10" s="1">
        <f t="shared" si="1"/>
        <v>864</v>
      </c>
      <c r="G10" s="1">
        <f t="shared" si="2"/>
        <v>939</v>
      </c>
    </row>
    <row r="11" spans="1:9" x14ac:dyDescent="0.3">
      <c r="A11" s="7">
        <v>45336</v>
      </c>
      <c r="B11" t="s">
        <v>22</v>
      </c>
      <c r="C11" t="str">
        <f>_xlfn.XLOOKUP(B11,Inventory!A:A,Inventory!C:C,"")</f>
        <v>Road</v>
      </c>
      <c r="D11" s="1">
        <f>_xlfn.XLOOKUP(B11,Inventory!A:A,Inventory!F:F,"")</f>
        <v>1680</v>
      </c>
      <c r="E11" s="1">
        <f t="shared" si="0"/>
        <v>134.4</v>
      </c>
      <c r="F11" s="1">
        <f t="shared" si="1"/>
        <v>1814.4</v>
      </c>
      <c r="G11" s="1">
        <f t="shared" si="2"/>
        <v>1889.4</v>
      </c>
    </row>
    <row r="12" spans="1:9" x14ac:dyDescent="0.3">
      <c r="A12" s="7">
        <v>45337</v>
      </c>
      <c r="B12" t="s">
        <v>27</v>
      </c>
      <c r="C12" t="str">
        <f>_xlfn.XLOOKUP(B12,Inventory!A:A,Inventory!C:C,"")</f>
        <v>Mountain</v>
      </c>
      <c r="D12" s="1">
        <f>_xlfn.XLOOKUP(B12,Inventory!A:A,Inventory!F:F,"")</f>
        <v>899</v>
      </c>
      <c r="E12" s="1">
        <f t="shared" si="0"/>
        <v>71.92</v>
      </c>
      <c r="F12" s="1">
        <f t="shared" si="1"/>
        <v>970.92</v>
      </c>
      <c r="G12" s="1">
        <f t="shared" si="2"/>
        <v>1045.92</v>
      </c>
    </row>
    <row r="13" spans="1:9" x14ac:dyDescent="0.3">
      <c r="A13" s="7">
        <v>45337</v>
      </c>
      <c r="B13" t="s">
        <v>15</v>
      </c>
      <c r="C13" t="str">
        <f>_xlfn.XLOOKUP(B13,Inventory!A:A,Inventory!C:C,"")</f>
        <v>Hybrid</v>
      </c>
      <c r="D13" s="1">
        <f>_xlfn.XLOOKUP(B13,Inventory!A:A,Inventory!F:F,"")</f>
        <v>1499</v>
      </c>
      <c r="E13" s="1">
        <f t="shared" si="0"/>
        <v>119.92</v>
      </c>
      <c r="F13" s="1">
        <f t="shared" si="1"/>
        <v>1618.92</v>
      </c>
      <c r="G13" s="1">
        <f t="shared" si="2"/>
        <v>1693.92</v>
      </c>
    </row>
    <row r="14" spans="1:9" x14ac:dyDescent="0.3">
      <c r="A14" s="7">
        <v>45337</v>
      </c>
      <c r="B14" t="s">
        <v>10</v>
      </c>
      <c r="C14" t="str">
        <f>_xlfn.XLOOKUP(B14,Inventory!A:A,Inventory!C:C,"")</f>
        <v>Road</v>
      </c>
      <c r="D14" s="1">
        <f>_xlfn.XLOOKUP(B14,Inventory!A:A,Inventory!F:F,"")</f>
        <v>1350</v>
      </c>
      <c r="E14" s="1">
        <f t="shared" si="0"/>
        <v>108</v>
      </c>
      <c r="F14" s="1">
        <f t="shared" si="1"/>
        <v>1458</v>
      </c>
      <c r="G14" s="1">
        <f t="shared" si="2"/>
        <v>1533</v>
      </c>
    </row>
    <row r="15" spans="1:9" x14ac:dyDescent="0.3">
      <c r="A15" s="7">
        <v>45340</v>
      </c>
      <c r="B15" t="s">
        <v>32</v>
      </c>
      <c r="C15" t="str">
        <f>_xlfn.XLOOKUP(B15,Inventory!A:A,Inventory!C:C,"")</f>
        <v>Road</v>
      </c>
      <c r="D15" s="1">
        <f>_xlfn.XLOOKUP(B15,Inventory!A:A,Inventory!F:F,"")</f>
        <v>450</v>
      </c>
      <c r="E15" s="1">
        <f t="shared" si="0"/>
        <v>36</v>
      </c>
      <c r="F15" s="1">
        <f t="shared" si="1"/>
        <v>486</v>
      </c>
      <c r="G15" s="1">
        <f t="shared" si="2"/>
        <v>561</v>
      </c>
    </row>
    <row r="16" spans="1:9" x14ac:dyDescent="0.3">
      <c r="A16" s="7">
        <v>45341</v>
      </c>
      <c r="B16" t="s">
        <v>25</v>
      </c>
      <c r="C16" t="str">
        <f>_xlfn.XLOOKUP(B16,Inventory!A:A,Inventory!C:C,"")</f>
        <v>Road</v>
      </c>
      <c r="D16" s="1">
        <f>_xlfn.XLOOKUP(B16,Inventory!A:A,Inventory!F:F,"")</f>
        <v>749</v>
      </c>
      <c r="E16" s="1">
        <f t="shared" si="0"/>
        <v>59.92</v>
      </c>
      <c r="F16" s="1">
        <f t="shared" si="1"/>
        <v>808.92</v>
      </c>
      <c r="G16" s="1">
        <f t="shared" si="2"/>
        <v>883.92</v>
      </c>
    </row>
    <row r="17" spans="1:7" x14ac:dyDescent="0.3">
      <c r="A17" s="7">
        <v>45345</v>
      </c>
      <c r="B17" t="s">
        <v>24</v>
      </c>
      <c r="C17" t="str">
        <f>_xlfn.XLOOKUP(B17,Inventory!A:A,Inventory!C:C,"")</f>
        <v>Mountain</v>
      </c>
      <c r="D17" s="1">
        <f>_xlfn.XLOOKUP(B17,Inventory!A:A,Inventory!F:F,"")</f>
        <v>1755</v>
      </c>
      <c r="E17" s="1">
        <f t="shared" si="0"/>
        <v>140.4</v>
      </c>
      <c r="F17" s="1">
        <f t="shared" si="1"/>
        <v>1895.4</v>
      </c>
      <c r="G17" s="1">
        <f t="shared" si="2"/>
        <v>1970.4</v>
      </c>
    </row>
    <row r="18" spans="1:7" x14ac:dyDescent="0.3">
      <c r="A18" s="7">
        <v>45346</v>
      </c>
      <c r="B18" t="s">
        <v>6</v>
      </c>
      <c r="C18" t="str">
        <f>_xlfn.XLOOKUP(B18,Inventory!A:A,Inventory!C:C,"")</f>
        <v>Road</v>
      </c>
      <c r="D18" s="1">
        <f>_xlfn.XLOOKUP(B18,Inventory!A:A,Inventory!F:F,"")</f>
        <v>3199</v>
      </c>
      <c r="E18" s="1">
        <f t="shared" si="0"/>
        <v>255.92000000000002</v>
      </c>
      <c r="F18" s="1">
        <f t="shared" si="1"/>
        <v>3454.92</v>
      </c>
      <c r="G18" s="1">
        <f t="shared" si="2"/>
        <v>3529.92</v>
      </c>
    </row>
    <row r="19" spans="1:7" x14ac:dyDescent="0.3">
      <c r="A19" s="7">
        <v>45346</v>
      </c>
      <c r="B19" t="s">
        <v>27</v>
      </c>
      <c r="C19" t="str">
        <f>_xlfn.XLOOKUP(B19,Inventory!A:A,Inventory!C:C,"")</f>
        <v>Mountain</v>
      </c>
      <c r="D19" s="1">
        <f>_xlfn.XLOOKUP(B19,Inventory!A:A,Inventory!F:F,"")</f>
        <v>899</v>
      </c>
      <c r="E19" s="1">
        <f t="shared" si="0"/>
        <v>71.92</v>
      </c>
      <c r="F19" s="1">
        <f t="shared" si="1"/>
        <v>970.92</v>
      </c>
      <c r="G19" s="1">
        <f t="shared" si="2"/>
        <v>1045.92</v>
      </c>
    </row>
    <row r="20" spans="1:7" x14ac:dyDescent="0.3">
      <c r="A2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FD1A-C7FB-4ADD-B57B-5C6430346975}">
  <sheetPr codeName="Sheet4"/>
  <dimension ref="A1:I17"/>
  <sheetViews>
    <sheetView showFormulas="1" workbookViewId="0">
      <selection activeCell="G18" sqref="G18"/>
    </sheetView>
  </sheetViews>
  <sheetFormatPr defaultRowHeight="14.4" x14ac:dyDescent="0.3"/>
  <cols>
    <col min="1" max="1" width="22.33203125" customWidth="1"/>
    <col min="2" max="2" width="20" customWidth="1"/>
    <col min="3" max="3" width="17.3320312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45355</v>
      </c>
      <c r="B2" t="s">
        <v>20</v>
      </c>
      <c r="C2" t="str">
        <f>_xlfn.XLOOKUP(B2,Inventory!A:A,Inventory!C:C,"")</f>
        <v>Road</v>
      </c>
      <c r="D2" s="1">
        <f>_xlfn.XLOOKUP(B2,Inventory!A:A,Inventory!F:F,"")</f>
        <v>800</v>
      </c>
      <c r="E2" s="1">
        <f>D2*$I$4</f>
        <v>64</v>
      </c>
      <c r="F2" s="1">
        <f>D2+E2</f>
        <v>864</v>
      </c>
      <c r="G2" s="1">
        <f>F2+$I$7</f>
        <v>939</v>
      </c>
    </row>
    <row r="3" spans="1:9" x14ac:dyDescent="0.3">
      <c r="A3" s="7">
        <v>45356</v>
      </c>
      <c r="B3" t="s">
        <v>10</v>
      </c>
      <c r="C3" t="str">
        <f>_xlfn.XLOOKUP(B3,Inventory!A:A,Inventory!C:C,"")</f>
        <v>Road</v>
      </c>
      <c r="D3" s="1">
        <f>_xlfn.XLOOKUP(B3,Inventory!A:A,Inventory!F:F,"")</f>
        <v>1350</v>
      </c>
      <c r="E3" s="1">
        <f t="shared" ref="E3:E17" si="0">D3*$I$4</f>
        <v>108</v>
      </c>
      <c r="F3" s="1">
        <f t="shared" ref="F3:F17" si="1">D3+E3</f>
        <v>1458</v>
      </c>
      <c r="G3" s="1">
        <f t="shared" ref="G3:G17" si="2">F3+$I$7</f>
        <v>1533</v>
      </c>
      <c r="I3" s="4" t="s">
        <v>36</v>
      </c>
    </row>
    <row r="4" spans="1:9" x14ac:dyDescent="0.3">
      <c r="A4" s="7">
        <v>45356</v>
      </c>
      <c r="B4" t="s">
        <v>28</v>
      </c>
      <c r="C4" t="str">
        <f>_xlfn.XLOOKUP(B4,Inventory!A:A,Inventory!C:C,"")</f>
        <v>Hybrid</v>
      </c>
      <c r="D4" s="1">
        <f>_xlfn.XLOOKUP(B4,Inventory!A:A,Inventory!F:F,"")</f>
        <v>650</v>
      </c>
      <c r="E4" s="1">
        <f t="shared" si="0"/>
        <v>52</v>
      </c>
      <c r="F4" s="1">
        <f t="shared" si="1"/>
        <v>702</v>
      </c>
      <c r="G4" s="1">
        <f t="shared" si="2"/>
        <v>777</v>
      </c>
      <c r="I4" s="6">
        <v>0.08</v>
      </c>
    </row>
    <row r="5" spans="1:9" x14ac:dyDescent="0.3">
      <c r="A5" s="7">
        <v>45356</v>
      </c>
      <c r="B5" t="s">
        <v>27</v>
      </c>
      <c r="C5" t="str">
        <f>_xlfn.XLOOKUP(B5,Inventory!A:A,Inventory!C:C,"")</f>
        <v>Mountain</v>
      </c>
      <c r="D5" s="1">
        <f>_xlfn.XLOOKUP(B5,Inventory!A:A,Inventory!F:F,"")</f>
        <v>899</v>
      </c>
      <c r="E5" s="1">
        <f t="shared" si="0"/>
        <v>71.92</v>
      </c>
      <c r="F5" s="1">
        <f t="shared" si="1"/>
        <v>970.92</v>
      </c>
      <c r="G5" s="1">
        <f t="shared" si="2"/>
        <v>1045.92</v>
      </c>
    </row>
    <row r="6" spans="1:9" x14ac:dyDescent="0.3">
      <c r="A6" s="7">
        <v>45356</v>
      </c>
      <c r="B6" t="s">
        <v>10</v>
      </c>
      <c r="C6" t="str">
        <f>_xlfn.XLOOKUP(B6,Inventory!A:A,Inventory!C:C,"")</f>
        <v>Road</v>
      </c>
      <c r="D6" s="1">
        <f>_xlfn.XLOOKUP(B6,Inventory!A:A,Inventory!F:F,"")</f>
        <v>1350</v>
      </c>
      <c r="E6" s="1">
        <f t="shared" si="0"/>
        <v>108</v>
      </c>
      <c r="F6" s="1">
        <f t="shared" si="1"/>
        <v>1458</v>
      </c>
      <c r="G6" s="1">
        <f t="shared" si="2"/>
        <v>1533</v>
      </c>
      <c r="I6" s="4" t="s">
        <v>39</v>
      </c>
    </row>
    <row r="7" spans="1:9" x14ac:dyDescent="0.3">
      <c r="A7" s="7">
        <v>45360</v>
      </c>
      <c r="B7" t="s">
        <v>20</v>
      </c>
      <c r="C7" t="str">
        <f>_xlfn.XLOOKUP(B7,Inventory!A:A,Inventory!C:C,"")</f>
        <v>Road</v>
      </c>
      <c r="D7" s="1">
        <f>_xlfn.XLOOKUP(B7,Inventory!A:A,Inventory!F:F,"")</f>
        <v>800</v>
      </c>
      <c r="E7" s="1">
        <f t="shared" si="0"/>
        <v>64</v>
      </c>
      <c r="F7" s="1">
        <f t="shared" si="1"/>
        <v>864</v>
      </c>
      <c r="G7" s="1">
        <f t="shared" si="2"/>
        <v>939</v>
      </c>
      <c r="I7" s="5">
        <v>75</v>
      </c>
    </row>
    <row r="8" spans="1:9" x14ac:dyDescent="0.3">
      <c r="A8" s="7">
        <v>45364</v>
      </c>
      <c r="B8" t="s">
        <v>24</v>
      </c>
      <c r="C8" t="str">
        <f>_xlfn.XLOOKUP(B8,Inventory!A:A,Inventory!C:C,"")</f>
        <v>Mountain</v>
      </c>
      <c r="D8" s="1">
        <f>_xlfn.XLOOKUP(B8,Inventory!A:A,Inventory!F:F,"")</f>
        <v>1755</v>
      </c>
      <c r="E8" s="1">
        <f t="shared" si="0"/>
        <v>140.4</v>
      </c>
      <c r="F8" s="1">
        <f t="shared" si="1"/>
        <v>1895.4</v>
      </c>
      <c r="G8" s="1">
        <f t="shared" si="2"/>
        <v>1970.4</v>
      </c>
    </row>
    <row r="9" spans="1:9" x14ac:dyDescent="0.3">
      <c r="A9" s="7">
        <v>45365</v>
      </c>
      <c r="B9" t="s">
        <v>15</v>
      </c>
      <c r="C9" t="str">
        <f>_xlfn.XLOOKUP(B9,Inventory!A:A,Inventory!C:C,"")</f>
        <v>Hybrid</v>
      </c>
      <c r="D9" s="1">
        <f>_xlfn.XLOOKUP(B9,Inventory!A:A,Inventory!F:F,"")</f>
        <v>1499</v>
      </c>
      <c r="E9" s="1">
        <f t="shared" si="0"/>
        <v>119.92</v>
      </c>
      <c r="F9" s="1">
        <f t="shared" si="1"/>
        <v>1618.92</v>
      </c>
      <c r="G9" s="1">
        <f t="shared" si="2"/>
        <v>1693.92</v>
      </c>
    </row>
    <row r="10" spans="1:9" x14ac:dyDescent="0.3">
      <c r="A10" s="7">
        <v>45366</v>
      </c>
      <c r="B10" t="s">
        <v>25</v>
      </c>
      <c r="C10" t="str">
        <f>_xlfn.XLOOKUP(B10,Inventory!A:A,Inventory!C:C,"")</f>
        <v>Road</v>
      </c>
      <c r="D10" s="1">
        <f>_xlfn.XLOOKUP(B10,Inventory!A:A,Inventory!F:F,"")</f>
        <v>749</v>
      </c>
      <c r="E10" s="1">
        <f t="shared" si="0"/>
        <v>59.92</v>
      </c>
      <c r="F10" s="1">
        <f t="shared" si="1"/>
        <v>808.92</v>
      </c>
      <c r="G10" s="1">
        <f t="shared" si="2"/>
        <v>883.92</v>
      </c>
    </row>
    <row r="11" spans="1:9" x14ac:dyDescent="0.3">
      <c r="A11" s="7">
        <v>45368</v>
      </c>
      <c r="B11" t="s">
        <v>6</v>
      </c>
      <c r="C11" t="str">
        <f>_xlfn.XLOOKUP(B11,Inventory!A:A,Inventory!C:C,"")</f>
        <v>Road</v>
      </c>
      <c r="D11" s="1">
        <f>_xlfn.XLOOKUP(B11,Inventory!A:A,Inventory!F:F,"")</f>
        <v>3199</v>
      </c>
      <c r="E11" s="1">
        <f t="shared" si="0"/>
        <v>255.92000000000002</v>
      </c>
      <c r="F11" s="1">
        <f t="shared" si="1"/>
        <v>3454.92</v>
      </c>
      <c r="G11" s="1">
        <f t="shared" si="2"/>
        <v>3529.92</v>
      </c>
    </row>
    <row r="12" spans="1:9" x14ac:dyDescent="0.3">
      <c r="A12" s="7">
        <v>45372</v>
      </c>
      <c r="B12" t="s">
        <v>24</v>
      </c>
      <c r="C12" t="str">
        <f>_xlfn.XLOOKUP(B12,Inventory!A:A,Inventory!C:C,"")</f>
        <v>Mountain</v>
      </c>
      <c r="D12" s="1">
        <f>_xlfn.XLOOKUP(B12,Inventory!A:A,Inventory!F:F,"")</f>
        <v>1755</v>
      </c>
      <c r="E12" s="1">
        <f t="shared" si="0"/>
        <v>140.4</v>
      </c>
      <c r="F12" s="1">
        <f t="shared" si="1"/>
        <v>1895.4</v>
      </c>
      <c r="G12" s="1">
        <f t="shared" si="2"/>
        <v>1970.4</v>
      </c>
    </row>
    <row r="13" spans="1:9" x14ac:dyDescent="0.3">
      <c r="A13" s="7">
        <v>45373</v>
      </c>
      <c r="B13" t="s">
        <v>25</v>
      </c>
      <c r="C13" t="str">
        <f>_xlfn.XLOOKUP(B13,Inventory!A:A,Inventory!C:C,"")</f>
        <v>Road</v>
      </c>
      <c r="D13" s="1">
        <f>_xlfn.XLOOKUP(B13,Inventory!A:A,Inventory!F:F,"")</f>
        <v>749</v>
      </c>
      <c r="E13" s="1">
        <f t="shared" si="0"/>
        <v>59.92</v>
      </c>
      <c r="F13" s="1">
        <f t="shared" si="1"/>
        <v>808.92</v>
      </c>
      <c r="G13" s="1">
        <f t="shared" si="2"/>
        <v>883.92</v>
      </c>
    </row>
    <row r="14" spans="1:9" x14ac:dyDescent="0.3">
      <c r="A14" s="7">
        <v>45374</v>
      </c>
      <c r="B14" t="s">
        <v>12</v>
      </c>
      <c r="C14" t="str">
        <f>_xlfn.XLOOKUP(B14,Inventory!A:A,Inventory!C:C,"")</f>
        <v>Mountain</v>
      </c>
      <c r="D14" s="1">
        <f>_xlfn.XLOOKUP(B14,Inventory!A:A,Inventory!F:F,"")</f>
        <v>1400</v>
      </c>
      <c r="E14" s="1">
        <f t="shared" si="0"/>
        <v>112</v>
      </c>
      <c r="F14" s="1">
        <f t="shared" si="1"/>
        <v>1512</v>
      </c>
      <c r="G14" s="1">
        <f t="shared" si="2"/>
        <v>1587</v>
      </c>
    </row>
    <row r="15" spans="1:9" x14ac:dyDescent="0.3">
      <c r="A15" s="7">
        <v>45374</v>
      </c>
      <c r="B15" t="s">
        <v>28</v>
      </c>
      <c r="C15" t="str">
        <f>_xlfn.XLOOKUP(B15,Inventory!A:A,Inventory!C:C,"")</f>
        <v>Hybrid</v>
      </c>
      <c r="D15" s="1">
        <f>_xlfn.XLOOKUP(B15,Inventory!A:A,Inventory!F:F,"")</f>
        <v>650</v>
      </c>
      <c r="E15" s="1">
        <f t="shared" si="0"/>
        <v>52</v>
      </c>
      <c r="F15" s="1">
        <f t="shared" si="1"/>
        <v>702</v>
      </c>
      <c r="G15" s="1">
        <f t="shared" si="2"/>
        <v>777</v>
      </c>
    </row>
    <row r="16" spans="1:9" x14ac:dyDescent="0.3">
      <c r="A16" s="7">
        <v>45379</v>
      </c>
      <c r="B16" t="s">
        <v>18</v>
      </c>
      <c r="C16" t="str">
        <f>_xlfn.XLOOKUP(B16,Inventory!A:A,Inventory!C:C,"")</f>
        <v>Hybrid</v>
      </c>
      <c r="D16" s="1">
        <f>_xlfn.XLOOKUP(B16,Inventory!A:A,Inventory!F:F,"")</f>
        <v>700</v>
      </c>
      <c r="E16" s="1">
        <f t="shared" si="0"/>
        <v>56</v>
      </c>
      <c r="F16" s="1">
        <f t="shared" si="1"/>
        <v>756</v>
      </c>
      <c r="G16" s="1">
        <f t="shared" si="2"/>
        <v>831</v>
      </c>
    </row>
    <row r="17" spans="1:7" x14ac:dyDescent="0.3">
      <c r="A17" s="7">
        <v>45380</v>
      </c>
      <c r="B17" t="s">
        <v>30</v>
      </c>
      <c r="C17" t="str">
        <f>_xlfn.XLOOKUP(B17,Inventory!A:A,Inventory!C:C,"")</f>
        <v>Hybrid</v>
      </c>
      <c r="D17" s="1">
        <f>_xlfn.XLOOKUP(B17,Inventory!A:A,Inventory!F:F,"")</f>
        <v>1599</v>
      </c>
      <c r="E17" s="1">
        <f t="shared" si="0"/>
        <v>127.92</v>
      </c>
      <c r="F17" s="1">
        <f t="shared" si="1"/>
        <v>1726.92</v>
      </c>
      <c r="G17" s="1">
        <f t="shared" si="2"/>
        <v>1801.92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40C9-5C24-46C5-8F07-FC94994CC3BA}">
  <sheetPr codeName="Sheet5"/>
  <dimension ref="A1:D11"/>
  <sheetViews>
    <sheetView showFormulas="1" workbookViewId="0">
      <selection activeCell="C3" sqref="C3"/>
    </sheetView>
  </sheetViews>
  <sheetFormatPr defaultRowHeight="14.4" x14ac:dyDescent="0.3"/>
  <cols>
    <col min="1" max="1" width="20.109375" customWidth="1"/>
    <col min="2" max="3" width="18.44140625" customWidth="1"/>
    <col min="4" max="4" width="19.5546875" customWidth="1"/>
    <col min="5" max="5" width="16.6640625" customWidth="1"/>
    <col min="6" max="6" width="17.88671875" customWidth="1"/>
  </cols>
  <sheetData>
    <row r="1" spans="1:4" ht="15.6" x14ac:dyDescent="0.3">
      <c r="A1" s="17" t="s">
        <v>40</v>
      </c>
      <c r="B1" s="17"/>
    </row>
    <row r="2" spans="1:4" ht="15.6" x14ac:dyDescent="0.3">
      <c r="A2" s="11" t="s">
        <v>41</v>
      </c>
      <c r="B2" s="12">
        <f>SUM(JanSales!G2:G19)</f>
        <v>29556.36</v>
      </c>
    </row>
    <row r="3" spans="1:4" ht="15.6" x14ac:dyDescent="0.3">
      <c r="A3" s="13" t="s">
        <v>42</v>
      </c>
      <c r="B3" s="14">
        <f>SUM(FebSales!G2:G19)</f>
        <v>28653.479999999996</v>
      </c>
    </row>
    <row r="4" spans="1:4" ht="15.6" x14ac:dyDescent="0.3">
      <c r="A4" s="13" t="s">
        <v>43</v>
      </c>
      <c r="B4" s="14">
        <f>SUM(MarSales!G2:G17)</f>
        <v>22696.32</v>
      </c>
    </row>
    <row r="7" spans="1:4" ht="27.75" customHeight="1" x14ac:dyDescent="0.4">
      <c r="A7" s="16" t="s">
        <v>44</v>
      </c>
      <c r="B7" s="16"/>
      <c r="C7" s="16"/>
      <c r="D7" s="16"/>
    </row>
    <row r="8" spans="1:4" ht="28.5" customHeight="1" x14ac:dyDescent="0.3">
      <c r="A8" s="3"/>
      <c r="B8" s="4" t="s">
        <v>8</v>
      </c>
      <c r="C8" s="4" t="s">
        <v>13</v>
      </c>
      <c r="D8" s="4" t="s">
        <v>16</v>
      </c>
    </row>
    <row r="9" spans="1:4" ht="39" customHeight="1" x14ac:dyDescent="0.3">
      <c r="A9" s="4" t="s">
        <v>45</v>
      </c>
      <c r="B9" s="8">
        <f>SUMIF(JanSales!C:C,"Road",JanSales!G:G)</f>
        <v>14106.48</v>
      </c>
      <c r="C9" s="8">
        <f>SUMIF(JanSales!C:C,"Mountain", JanSales!G:G)</f>
        <v>5911.2000000000007</v>
      </c>
      <c r="D9" s="8">
        <f>SUMIF(JanSales!C:C,"Hybrid",JanSales!G:G)</f>
        <v>9538.68</v>
      </c>
    </row>
    <row r="10" spans="1:4" ht="39" customHeight="1" x14ac:dyDescent="0.3">
      <c r="A10" s="4" t="s">
        <v>46</v>
      </c>
      <c r="B10" s="8">
        <f>SUMIF(FebSales!C:C,"Road",FebSales!G:G)</f>
        <v>15844.08</v>
      </c>
      <c r="C10" s="8">
        <f>SUMIF(FebSales!C:C,"Mountain",FebSales!G:G)</f>
        <v>7619.6399999999994</v>
      </c>
      <c r="D10" s="8">
        <f>SUMIF(FebSales!C:C,"Hybrid",FebSales!G:G)</f>
        <v>5189.76</v>
      </c>
    </row>
    <row r="11" spans="1:4" ht="39" customHeight="1" x14ac:dyDescent="0.3">
      <c r="A11" s="4" t="s">
        <v>47</v>
      </c>
      <c r="B11" s="8">
        <f>SUMIF(MarSales!C:C,"Road",MarSales!G:G)</f>
        <v>10241.76</v>
      </c>
      <c r="C11" s="8">
        <f>SUMIF(MarSales!C:C,"Mountain",MarSales!G:G)</f>
        <v>6573.72</v>
      </c>
      <c r="D11" s="8">
        <f>SUMIF(MarSales!C:C,"Hybrid", MarSales!G:G)</f>
        <v>5880.84</v>
      </c>
    </row>
  </sheetData>
  <mergeCells count="2">
    <mergeCell ref="A7:D7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F47B-75E7-4620-B004-F7C0E7CF38A3}">
  <sheetPr codeName="Sheet6"/>
  <dimension ref="B3:C6"/>
  <sheetViews>
    <sheetView showFormulas="1" tabSelected="1" workbookViewId="0">
      <selection activeCell="C6" sqref="C6"/>
    </sheetView>
  </sheetViews>
  <sheetFormatPr defaultRowHeight="14.4" x14ac:dyDescent="0.3"/>
  <cols>
    <col min="2" max="2" width="20.109375" customWidth="1"/>
    <col min="3" max="3" width="17.6640625" customWidth="1"/>
  </cols>
  <sheetData>
    <row r="3" spans="2:3" ht="23.4" x14ac:dyDescent="0.45">
      <c r="B3" s="15" t="s">
        <v>48</v>
      </c>
      <c r="C3" s="15"/>
    </row>
    <row r="4" spans="2:3" ht="23.4" x14ac:dyDescent="0.45">
      <c r="B4" s="9" t="s">
        <v>49</v>
      </c>
      <c r="C4" s="9" t="s">
        <v>47</v>
      </c>
    </row>
    <row r="5" spans="2:3" ht="23.4" x14ac:dyDescent="0.45">
      <c r="B5" s="9" t="s">
        <v>50</v>
      </c>
      <c r="C5" s="9" t="s">
        <v>8</v>
      </c>
    </row>
    <row r="6" spans="2:3" ht="23.4" x14ac:dyDescent="0.45">
      <c r="B6" s="9" t="s">
        <v>51</v>
      </c>
      <c r="C6" s="10">
        <f>INDEX('Q1 Sales Summary'!B9:B11,MATCH(C4,'Q1 Sales Summary'!A9:A11,0),MATCH(C5,'Q1 Sales Summary'!B8:D8,0))</f>
        <v>10241.76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3d6f8ab-26ab-4174-9dfe-d85f4f4a895a" xsi:nil="true"/>
    <lcf76f155ced4ddcb4097134ff3c332f xmlns="031cf352-67f5-42fe-8842-0cde2afd6b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A75A25CE59043A67386BF7E6D4978" ma:contentTypeVersion="15" ma:contentTypeDescription="Create a new document." ma:contentTypeScope="" ma:versionID="cfe10d77a10c32c8bc569c23b20c2b72">
  <xsd:schema xmlns:xsd="http://www.w3.org/2001/XMLSchema" xmlns:xs="http://www.w3.org/2001/XMLSchema" xmlns:p="http://schemas.microsoft.com/office/2006/metadata/properties" xmlns:ns1="http://schemas.microsoft.com/sharepoint/v3" xmlns:ns2="031cf352-67f5-42fe-8842-0cde2afd6b7a" xmlns:ns3="f3d6f8ab-26ab-4174-9dfe-d85f4f4a895a" targetNamespace="http://schemas.microsoft.com/office/2006/metadata/properties" ma:root="true" ma:fieldsID="5c65ec231b442b78543c40c4b18f6b4d" ns1:_="" ns2:_="" ns3:_="">
    <xsd:import namespace="http://schemas.microsoft.com/sharepoint/v3"/>
    <xsd:import namespace="031cf352-67f5-42fe-8842-0cde2afd6b7a"/>
    <xsd:import namespace="f3d6f8ab-26ab-4174-9dfe-d85f4f4a8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cf352-67f5-42fe-8842-0cde2afd6b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6f8ab-26ab-4174-9dfe-d85f4f4a895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174b92c-220f-4161-bbbe-b35b07c7f679}" ma:internalName="TaxCatchAll" ma:showField="CatchAllData" ma:web="f3d6f8ab-26ab-4174-9dfe-d85f4f4a8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C5E2F-CFCC-47B1-AB04-72557A5F60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d6f8ab-26ab-4174-9dfe-d85f4f4a895a"/>
    <ds:schemaRef ds:uri="031cf352-67f5-42fe-8842-0cde2afd6b7a"/>
  </ds:schemaRefs>
</ds:datastoreItem>
</file>

<file path=customXml/itemProps2.xml><?xml version="1.0" encoding="utf-8"?>
<ds:datastoreItem xmlns:ds="http://schemas.openxmlformats.org/officeDocument/2006/customXml" ds:itemID="{732D65DF-E13B-4779-9E0E-9224C4AB6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880AC-A4C5-45BD-A072-D5F992612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1cf352-67f5-42fe-8842-0cde2afd6b7a"/>
    <ds:schemaRef ds:uri="f3d6f8ab-26ab-4174-9dfe-d85f4f4a8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JanSales</vt:lpstr>
      <vt:lpstr>FebSales</vt:lpstr>
      <vt:lpstr>MarSales</vt:lpstr>
      <vt:lpstr>Q1 Sales Summary</vt:lpstr>
      <vt:lpstr>QuickSearch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Corthon, Gabriel</dc:creator>
  <cp:keywords/>
  <dc:description/>
  <cp:lastModifiedBy>calebndifon2@gmail.com</cp:lastModifiedBy>
  <cp:revision/>
  <dcterms:created xsi:type="dcterms:W3CDTF">2024-05-13T20:56:12Z</dcterms:created>
  <dcterms:modified xsi:type="dcterms:W3CDTF">2026-07-06T13:50:00Z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0x0101008EAA75A25CE59043A67386BF7E6D4978</vt:lpwstr>
  </property>
</Properties>
</file>